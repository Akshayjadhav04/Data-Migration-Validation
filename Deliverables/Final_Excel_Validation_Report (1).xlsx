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9ded7db61cc760/Desktop/Data Migration Validation2/Deliverables/"/>
    </mc:Choice>
  </mc:AlternateContent>
  <xr:revisionPtr revIDLastSave="0" documentId="8_{1A96F700-4909-4377-A76D-C6284EAA212A}" xr6:coauthVersionLast="47" xr6:coauthVersionMax="47" xr10:uidLastSave="{00000000-0000-0000-0000-000000000000}"/>
  <bookViews>
    <workbookView xWindow="-110" yWindow="-110" windowWidth="19420" windowHeight="11020" xr2:uid="{0880A1B1-F4CE-4A27-8E7D-0B96A95F554F}"/>
  </bookViews>
  <sheets>
    <sheet name="Summary Dashboard" sheetId="8" r:id="rId1"/>
    <sheet name="Detailed_Orders" sheetId="7" r:id="rId2"/>
    <sheet name="Detailed_Customers" sheetId="6" r:id="rId3"/>
    <sheet name="Source_Cust" sheetId="5" r:id="rId4"/>
    <sheet name="Target_Cust" sheetId="4" r:id="rId5"/>
    <sheet name="Source_Orders" sheetId="3" r:id="rId6"/>
    <sheet name="Target_Orders" sheetId="2" r:id="rId7"/>
  </sheets>
  <definedNames>
    <definedName name="ExternalData_1" localSheetId="3">Source_Cust!$A$1:$I$21</definedName>
    <definedName name="ExternalData_1" localSheetId="5">Source_Orders!$A$1:$H$16</definedName>
    <definedName name="ExternalData_1" localSheetId="4">Target_Cust!$A$1:$I$21</definedName>
    <definedName name="ExternalData_1" localSheetId="6">Target_Orders!$A$1:$H$16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8" l="1"/>
  <c r="D19" i="8"/>
  <c r="C18" i="8"/>
  <c r="D18" i="8"/>
  <c r="C16" i="8"/>
  <c r="D16" i="8"/>
  <c r="D11" i="8"/>
  <c r="E11" i="8" s="1"/>
  <c r="C11" i="8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FEB4E2-7214-42E6-B9F8-CDD82C29E22C}" name="source_customers" type="6" refreshedVersion="8" background="1" saveData="1">
    <textPr prompt="0" sourceFile="c:\Users\aksha\OneDrive\Desktop\Data Migration Validation2\source_customers.csv" comma="1">
      <textFields>
        <textField/>
      </textFields>
    </textPr>
  </connection>
  <connection id="2" xr16:uid="{C27602F5-39F8-42CC-A4C1-560DFE01FAD4}" name="source_orders" type="6" refreshedVersion="8" background="1" saveData="1">
    <textPr prompt="0" sourceFile="c:\Users\aksha\OneDrive\Desktop\Data Migration Validation2\source_orders.csv" comma="1">
      <textFields>
        <textField/>
      </textFields>
    </textPr>
  </connection>
  <connection id="3" xr16:uid="{72E23CC0-C988-4863-8479-FA392066E0E4}" name="target_customers" type="6" refreshedVersion="8" background="1" saveData="1">
    <textPr prompt="0" sourceFile="c:\Users\aksha\OneDrive\Desktop\Data Migration Validation2\target_customers.csv" comma="1">
      <textFields>
        <textField/>
      </textFields>
    </textPr>
  </connection>
  <connection id="4" xr16:uid="{F4097EB0-A8A4-4E5F-A186-BFFDB8E3765E}" name="target_orders" type="6" refreshedVersion="8" background="1" saveData="1">
    <textPr prompt="0" sourceFile="c:\Users\aksha\OneDrive\Desktop\Data Migration Validation2\target_order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<sst xmlns="http://schemas.openxmlformats.org/spreadsheetml/2006/main" count="330" uniqueCount="143">
  <si>
    <t>OrderID</t>
  </si>
  <si>
    <t>CustomerID</t>
  </si>
  <si>
    <t>OrderDate</t>
  </si>
  <si>
    <t>ProductName</t>
  </si>
  <si>
    <t>Quantity</t>
  </si>
  <si>
    <t>UnitPrice</t>
  </si>
  <si>
    <t>TotalAmount</t>
  </si>
  <si>
    <t>Status</t>
  </si>
  <si>
    <t>Laptop</t>
  </si>
  <si>
    <t>Completed</t>
  </si>
  <si>
    <t>Mouse</t>
  </si>
  <si>
    <t>Keyboard</t>
  </si>
  <si>
    <t>Monitor</t>
  </si>
  <si>
    <t>Pending</t>
  </si>
  <si>
    <t>Tablet</t>
  </si>
  <si>
    <t>Cancelled</t>
  </si>
  <si>
    <t>FirstName</t>
  </si>
  <si>
    <t>LastName</t>
  </si>
  <si>
    <t>Email</t>
  </si>
  <si>
    <t>Phone</t>
  </si>
  <si>
    <t>RegistrationDate</t>
  </si>
  <si>
    <t>Country</t>
  </si>
  <si>
    <t>TotalOrders</t>
  </si>
  <si>
    <t>TotalSpent</t>
  </si>
  <si>
    <t>John</t>
  </si>
  <si>
    <t>Smith</t>
  </si>
  <si>
    <t>john.smith@email.com</t>
  </si>
  <si>
    <t>555-0101</t>
  </si>
  <si>
    <t>USA</t>
  </si>
  <si>
    <t>Emma</t>
  </si>
  <si>
    <t>Johnson</t>
  </si>
  <si>
    <t>emma.j@email.com</t>
  </si>
  <si>
    <t>555-0102</t>
  </si>
  <si>
    <t>Canada</t>
  </si>
  <si>
    <t>Michael</t>
  </si>
  <si>
    <t>Williams</t>
  </si>
  <si>
    <t>m.williams@email.com</t>
  </si>
  <si>
    <t>555-0103</t>
  </si>
  <si>
    <t>UK</t>
  </si>
  <si>
    <t>Sarah</t>
  </si>
  <si>
    <t>Brown</t>
  </si>
  <si>
    <t>sarah.b@email.com</t>
  </si>
  <si>
    <t>555-0104</t>
  </si>
  <si>
    <t>David</t>
  </si>
  <si>
    <t>Jones</t>
  </si>
  <si>
    <t>david.jones@email.com</t>
  </si>
  <si>
    <t>555-0105</t>
  </si>
  <si>
    <t>Australia</t>
  </si>
  <si>
    <t>Lisa</t>
  </si>
  <si>
    <t>Garcia</t>
  </si>
  <si>
    <t>lisa.garcia@email.com</t>
  </si>
  <si>
    <t>555-0106</t>
  </si>
  <si>
    <t>James</t>
  </si>
  <si>
    <t>Miller</t>
  </si>
  <si>
    <t>james.m@email.com</t>
  </si>
  <si>
    <t>555-0107</t>
  </si>
  <si>
    <t>Maria</t>
  </si>
  <si>
    <t>Davis</t>
  </si>
  <si>
    <t>maria.davis@email.com</t>
  </si>
  <si>
    <t>555-0108</t>
  </si>
  <si>
    <t>Robert</t>
  </si>
  <si>
    <t>Rodriguez</t>
  </si>
  <si>
    <t>rob.rod@email.com</t>
  </si>
  <si>
    <t>555-0109</t>
  </si>
  <si>
    <t>Jennifer</t>
  </si>
  <si>
    <t>Martinez</t>
  </si>
  <si>
    <t>jen.mart@email.com</t>
  </si>
  <si>
    <t>555-0110</t>
  </si>
  <si>
    <t>William</t>
  </si>
  <si>
    <t>Hernandez</t>
  </si>
  <si>
    <t>will.h@email.com</t>
  </si>
  <si>
    <t>555-0111</t>
  </si>
  <si>
    <t>Linda</t>
  </si>
  <si>
    <t>Lopez</t>
  </si>
  <si>
    <t>linda.lopez@email.com</t>
  </si>
  <si>
    <t>555-0112</t>
  </si>
  <si>
    <t>Richard</t>
  </si>
  <si>
    <t>Gonzalez</t>
  </si>
  <si>
    <t>rich.g@email.com</t>
  </si>
  <si>
    <t>555-0113</t>
  </si>
  <si>
    <t>Charles</t>
  </si>
  <si>
    <t>Anderson</t>
  </si>
  <si>
    <t>charles.a@email.com</t>
  </si>
  <si>
    <t>555-0115</t>
  </si>
  <si>
    <t>Barbara</t>
  </si>
  <si>
    <t>Thomas</t>
  </si>
  <si>
    <t>barb.thomas@email.com</t>
  </si>
  <si>
    <t>555-0116</t>
  </si>
  <si>
    <t>Joseph</t>
  </si>
  <si>
    <t>Taylor</t>
  </si>
  <si>
    <t>joe.taylor@email.com</t>
  </si>
  <si>
    <t>555-0117</t>
  </si>
  <si>
    <t>Susan</t>
  </si>
  <si>
    <t>Moore</t>
  </si>
  <si>
    <t>susan.m@email.com</t>
  </si>
  <si>
    <t>555-0118</t>
  </si>
  <si>
    <t>Jackson</t>
  </si>
  <si>
    <t>tom.jackson@email.com</t>
  </si>
  <si>
    <t>555-0119</t>
  </si>
  <si>
    <t>Jessica</t>
  </si>
  <si>
    <t>Martin</t>
  </si>
  <si>
    <t>jessica.mart@email.com</t>
  </si>
  <si>
    <t>555-0120</t>
  </si>
  <si>
    <t>Amanda</t>
  </si>
  <si>
    <t>White</t>
  </si>
  <si>
    <t>amanda.white@email.com</t>
  </si>
  <si>
    <t>555-0121</t>
  </si>
  <si>
    <t>Patricia</t>
  </si>
  <si>
    <t>Wilson</t>
  </si>
  <si>
    <t>pat.wilson@email.com</t>
  </si>
  <si>
    <t>555-0114</t>
  </si>
  <si>
    <t>Customer ID</t>
  </si>
  <si>
    <t>Source Name</t>
  </si>
  <si>
    <t>Missing Check</t>
  </si>
  <si>
    <t>Email Check</t>
  </si>
  <si>
    <t>Order ID</t>
  </si>
  <si>
    <t>Status Check</t>
  </si>
  <si>
    <t>Amount Check</t>
  </si>
  <si>
    <t>Data Migration Validation Report</t>
  </si>
  <si>
    <t>Date:</t>
  </si>
  <si>
    <t>Source DB:</t>
  </si>
  <si>
    <t>SourceDB</t>
  </si>
  <si>
    <t>Target DB:</t>
  </si>
  <si>
    <t>TargetDB</t>
  </si>
  <si>
    <t>KEY METRICS</t>
  </si>
  <si>
    <t>Total Tables</t>
  </si>
  <si>
    <t>Validation Passed</t>
  </si>
  <si>
    <t>Validation Failed</t>
  </si>
  <si>
    <t>Overall Status</t>
  </si>
  <si>
    <t>VALIDATION CATEGORIES &amp; STATUS OVERVIEW</t>
  </si>
  <si>
    <t>Validation Type</t>
  </si>
  <si>
    <t>Issues Found</t>
  </si>
  <si>
    <t>Severity</t>
  </si>
  <si>
    <t>Notes</t>
  </si>
  <si>
    <t>Record Count</t>
  </si>
  <si>
    <t>Low</t>
  </si>
  <si>
    <t>Schema Validation</t>
  </si>
  <si>
    <t>PASS</t>
  </si>
  <si>
    <t>Missing Records</t>
  </si>
  <si>
    <t>Critical</t>
  </si>
  <si>
    <t>Value Mismatches</t>
  </si>
  <si>
    <t>Medium</t>
  </si>
  <si>
    <t>Integrity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</si>
</sst>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indexed="9"/>
      <name val="Aptos Narrow"/>
      <family val="2"/>
      <scheme val="minor"/>
    </font>
    <font>
      <sz val="11"/>
      <color indexed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9">
    <dxf>
      <font>
        <color indexed="9"/>
      </font>
      <fill>
        <patternFill>
          <bgColor indexed="52"/>
        </patternFill>
      </fill>
    </dxf>
    <dxf>
      <font>
        <color indexed="9"/>
      </font>
      <fill>
        <patternFill>
          <bgColor indexed="10"/>
        </patternFill>
      </fill>
    </dxf>
    <dxf>
      <font>
        <color indexed="9"/>
      </font>
      <fill>
        <patternFill>
          <bgColor indexed="52"/>
        </patternFill>
      </fill>
    </dxf>
    <dxf>
      <font>
        <color indexed="9"/>
      </font>
      <fill>
        <patternFill>
          <bgColor indexed="10"/>
        </patternFill>
      </fill>
    </dxf>
    <dxf>
      <font>
        <color indexed="9"/>
      </font>
      <fill>
        <patternFill>
          <bgColor indexed="10"/>
        </patternFill>
      </fill>
    </dxf>
    <dxf>
      <fill>
        <patternFill>
          <bgColor indexed="42"/>
        </patternFill>
      </fill>
    </dxf>
    <dxf>
      <fill>
        <patternFill>
          <bgColor indexed="10"/>
        </patternFill>
      </fill>
    </dxf>
    <dxf>
      <fill>
        <patternFill>
          <bgColor indexed="52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Issues Found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Dashboard'!$B$16:$C$16</c:f>
              <c:strCache>
                <c:ptCount val="2"/>
                <c:pt idx="0">
                  <c:v>Record Count</c:v>
                </c:pt>
                <c:pt idx="1">
                  <c:v>PASS</c:v>
                </c:pt>
              </c:strCache>
            </c:strRef>
          </c:tx>
          <c:invertIfNegative val="0"/>
          <c:cat>
            <c:strRef>
              <c:f>'Summary Dashboard'!$D$15</c:f>
              <c:strCache>
                <c:ptCount val="1"/>
                <c:pt idx="0">
                  <c:v>Issues Found</c:v>
                </c:pt>
              </c:strCache>
            </c:strRef>
          </c:cat>
          <c:val>
            <c:numRef>
              <c:f>'Summary Dashboard'!$D$16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D-40E8-AAE5-37AC52C49C3A}"/>
            </c:ext>
          </c:extLst>
        </c:ser>
        <c:ser>
          <c:idx val="1"/>
          <c:order val="1"/>
          <c:tx>
            <c:strRef>
              <c:f>'Summary Dashboard'!$B$17:$C$17</c:f>
              <c:strCache>
                <c:ptCount val="2"/>
                <c:pt idx="0">
                  <c:v>Schema Validation</c:v>
                </c:pt>
                <c:pt idx="1">
                  <c:v>PASS</c:v>
                </c:pt>
              </c:strCache>
            </c:strRef>
          </c:tx>
          <c:invertIfNegative val="0"/>
          <c:cat>
            <c:strRef>
              <c:f>'Summary Dashboard'!$D$15</c:f>
              <c:strCache>
                <c:ptCount val="1"/>
                <c:pt idx="0">
                  <c:v>Issues Found</c:v>
                </c:pt>
              </c:strCache>
            </c:strRef>
          </c:cat>
          <c:val>
            <c:numRef>
              <c:f>'Summary Dashboard'!$D$17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D-40E8-AAE5-37AC52C49C3A}"/>
            </c:ext>
          </c:extLst>
        </c:ser>
        <c:ser>
          <c:idx val="2"/>
          <c:order val="2"/>
          <c:tx>
            <c:strRef>
              <c:f>'Summary Dashboard'!$B$18:$C$18</c:f>
              <c:strCache>
                <c:ptCount val="2"/>
                <c:pt idx="0">
                  <c:v>Missing Records</c:v>
                </c:pt>
                <c:pt idx="1">
                  <c:v>FAIL</c:v>
                </c:pt>
              </c:strCache>
            </c:strRef>
          </c:tx>
          <c:invertIfNegative val="0"/>
          <c:cat>
            <c:strRef>
              <c:f>'Summary Dashboard'!$D$15</c:f>
              <c:strCache>
                <c:ptCount val="1"/>
                <c:pt idx="0">
                  <c:v>Issues Found</c:v>
                </c:pt>
              </c:strCache>
            </c:strRef>
          </c:cat>
          <c:val>
            <c:numRef>
              <c:f>'Summary Dashboard'!$D$18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D-40E8-AAE5-37AC52C49C3A}"/>
            </c:ext>
          </c:extLst>
        </c:ser>
        <c:ser>
          <c:idx val="3"/>
          <c:order val="3"/>
          <c:tx>
            <c:strRef>
              <c:f>'Summary Dashboard'!$B$19:$C$19</c:f>
              <c:strCache>
                <c:ptCount val="2"/>
                <c:pt idx="0">
                  <c:v>Value Mismatches</c:v>
                </c:pt>
                <c:pt idx="1">
                  <c:v>FAIL</c:v>
                </c:pt>
              </c:strCache>
            </c:strRef>
          </c:tx>
          <c:invertIfNegative val="0"/>
          <c:cat>
            <c:strRef>
              <c:f>'Summary Dashboard'!$D$15</c:f>
              <c:strCache>
                <c:ptCount val="1"/>
                <c:pt idx="0">
                  <c:v>Issues Found</c:v>
                </c:pt>
              </c:strCache>
            </c:strRef>
          </c:cat>
          <c:val>
            <c:numRef>
              <c:f>'Summary Dashboard'!$D$19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4D-40E8-AAE5-37AC52C49C3A}"/>
            </c:ext>
          </c:extLst>
        </c:ser>
        <c:ser>
          <c:idx val="4"/>
          <c:order val="4"/>
          <c:tx>
            <c:strRef>
              <c:f>'Summary Dashboard'!$B$20:$C$20</c:f>
              <c:strCache>
                <c:ptCount val="2"/>
                <c:pt idx="0">
                  <c:v>Integrity Checks</c:v>
                </c:pt>
                <c:pt idx="1">
                  <c:v>PASS</c:v>
                </c:pt>
              </c:strCache>
            </c:strRef>
          </c:tx>
          <c:invertIfNegative val="0"/>
          <c:cat>
            <c:strRef>
              <c:f>'Summary Dashboard'!$D$15</c:f>
              <c:strCache>
                <c:ptCount val="1"/>
                <c:pt idx="0">
                  <c:v>Issues Found</c:v>
                </c:pt>
              </c:strCache>
            </c:strRef>
          </c:cat>
          <c:val>
            <c:numRef>
              <c:f>'Summary Dashboard'!$D$20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D-40E8-AAE5-37AC52C4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2573232"/>
        <c:axId val="1362560752"/>
      </c:barChart>
      <c:catAx>
        <c:axId val="136257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2560752"/>
        <c:crosses val="autoZero"/>
        <c:auto val="1"/>
        <c:lblAlgn val="ctr"/>
        <c:lblOffset val="100"/>
        <c:noMultiLvlLbl val="0"/>
      </c:catAx>
      <c:valAx>
        <c:axId val="136256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2573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19</xdr:row>
      <xdr:rowOff>165100</xdr:rowOff>
    </xdr:from>
    <xdr:to>
      <xdr:col>8</xdr:col>
      <xdr:colOff>330200</xdr:colOff>
      <xdr:row>34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92D2E-7424-98A2-B4CE-9E55C9B62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20E771-E51D-4EE7-B9C2-471354F828EC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189F5C7-2525-4EA8-9AFC-77D65F13DBB2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7326F5-EE2A-4D71-BB9B-EA32529C7714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ECE2C25-15FE-4C83-9B43-E437E19F080F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DC5F-72A7-4E60-BF6C-706C852BFCAD}">
  <dimension ref="B2:J20"/>
  <sheetViews>
    <sheetView tabSelected="1" workbookViewId="0"/>
  </sheetViews>
  <sheetFormatPr defaultRowHeight="14.5" x14ac:dyDescent="0.35"/>
  <cols>
    <col min="2" max="2" width="39.90625" bestFit="1" customWidth="1"/>
    <col min="3" max="3" width="15.81640625" bestFit="1" customWidth="1"/>
    <col min="4" max="4" width="15" bestFit="1" customWidth="1"/>
    <col min="5" max="5" width="12.453125" bestFit="1" customWidth="1"/>
    <col min="6" max="6" width="5.6328125" bestFit="1" customWidth="1"/>
  </cols>
  <sheetData>
    <row r="2" spans="2:10" ht="26" x14ac:dyDescent="0.6">
      <c r="B2" s="5" t="s">
        <v>118</v>
      </c>
      <c r="C2" s="4"/>
      <c r="D2" s="4"/>
      <c r="E2" s="4"/>
      <c r="F2" s="4"/>
      <c r="G2" s="4"/>
      <c r="H2" s="4"/>
      <c r="I2" s="4"/>
      <c r="J2" s="4"/>
    </row>
    <row r="4" spans="2:10" x14ac:dyDescent="0.35">
      <c r="B4" t="s">
        <v>119</v>
      </c>
      <c r="C4" s="1">
        <v>46054</v>
      </c>
    </row>
    <row r="5" spans="2:10" x14ac:dyDescent="0.35">
      <c r="B5" t="s">
        <v>120</v>
      </c>
      <c r="C5" t="s">
        <v>121</v>
      </c>
    </row>
    <row r="6" spans="2:10" x14ac:dyDescent="0.35">
      <c r="B6" t="s">
        <v>122</v>
      </c>
      <c r="C6" t="s">
        <v>123</v>
      </c>
    </row>
    <row r="9" spans="2:10" x14ac:dyDescent="0.35">
      <c r="B9" s="2" t="s">
        <v>124</v>
      </c>
    </row>
    <row r="10" spans="2:10" x14ac:dyDescent="0.35">
      <c r="B10" s="2" t="s">
        <v>125</v>
      </c>
      <c r="C10" s="2" t="s">
        <v>126</v>
      </c>
      <c r="D10" s="2" t="s">
        <v>127</v>
      </c>
      <c r="E10" s="2" t="s">
        <v>128</v>
      </c>
    </row>
    <row r="11" spans="2:10" x14ac:dyDescent="0.35">
      <c r="B11">
        <v>2</v>
      </c>
      <c r="C11">
        <f>COUNTIF(C16:C21, "PASS")</f>
        <v>3</v>
      </c>
      <c r="D11">
        <f>COUNTIF(C16:C21, "FAIL")</f>
        <v>2</v>
      </c>
      <c r="E11" t="str">
        <f>IF(D11&gt;0, "WARNING", "PASS")</f>
        <v>WARNING</v>
      </c>
    </row>
    <row r="14" spans="2:10" x14ac:dyDescent="0.35">
      <c r="B14" s="2" t="s">
        <v>129</v>
      </c>
    </row>
    <row r="15" spans="2:10" x14ac:dyDescent="0.35">
      <c r="B15" s="6" t="s">
        <v>130</v>
      </c>
      <c r="C15" s="6" t="s">
        <v>7</v>
      </c>
      <c r="D15" s="6" t="s">
        <v>131</v>
      </c>
      <c r="E15" s="6" t="s">
        <v>132</v>
      </c>
      <c r="F15" s="6" t="s">
        <v>133</v>
      </c>
    </row>
    <row r="16" spans="2:10" x14ac:dyDescent="0.35">
      <c r="B16" t="s">
        <v>134</v>
      </c>
      <c r="C16" t="str">
        <f>IF(D16=0, "PASS", "FAIL")</f>
        <v>PASS</v>
      </c>
      <c r="D16">
        <f>ABS((COUNTA(Source_Cust!A:A)-1) - (COUNTA(Target_Cust!A:A)-1)) + ABS((COUNTA(Source_Orders!A:A)-1) - (COUNTA(Target_Orders!A:A)-1))</f>
        <v>0</v>
      </c>
      <c r="E16" t="s">
        <v>135</v>
      </c>
    </row>
    <row r="17" spans="2:5" x14ac:dyDescent="0.35">
      <c r="B17" t="s">
        <v>136</v>
      </c>
      <c r="C17" t="s">
        <v>137</v>
      </c>
      <c r="D17">
        <v>0</v>
      </c>
      <c r="E17" t="s">
        <v>135</v>
      </c>
    </row>
    <row r="18" spans="2:5" x14ac:dyDescent="0.35">
      <c r="B18" t="s">
        <v>138</v>
      </c>
      <c r="C18" t="str">
        <f>IF(D18=0, "PASS", "FAIL")</f>
        <v>FAIL</v>
      </c>
      <c r="D18">
        <f>COUNTIF(Detailed_Customers!C:C, "MISSING") + COUNTIF(Detailed_Orders!B:B, "MISSING")</f>
        <v>2</v>
      </c>
      <c r="E18" t="s">
        <v>139</v>
      </c>
    </row>
    <row r="19" spans="2:5" x14ac:dyDescent="0.35">
      <c r="B19" t="s">
        <v>140</v>
      </c>
      <c r="C19" t="str">
        <f>IF(D19=0, "PASS", "FAIL")</f>
        <v>FAIL</v>
      </c>
      <c r="D19">
        <f>COUNTIF(Detailed_Customers!D:D, "MISMATCH") + COUNTIF(Detailed_Orders!B:B, "MISMATCH") + COUNTIF(Detailed_Orders!C:C, "DIFF")</f>
        <v>1</v>
      </c>
      <c r="E19" t="s">
        <v>141</v>
      </c>
    </row>
    <row r="20" spans="2:5" x14ac:dyDescent="0.35">
      <c r="B20" t="s">
        <v>142</v>
      </c>
      <c r="C20" t="s">
        <v>137</v>
      </c>
      <c r="D20">
        <v>0</v>
      </c>
      <c r="E20" t="s">
        <v>141</v>
      </c>
    </row>
  </sheetData>
  <mergeCells count="1">
    <mergeCell ref="B2:J2"/>
  </mergeCells>
  <conditionalFormatting sqref="E11">
    <cfRule type="cellIs" dxfId="8" priority="1" stopIfTrue="1" operator="notEqual">
      <formula>"PASS"</formula>
    </cfRule>
    <cfRule type="cellIs" dxfId="7" priority="2" stopIfTrue="1" operator="lessThan">
      <formula>"WARNING"</formula>
    </cfRule>
    <cfRule type="cellIs" dxfId="6" priority="3" stopIfTrue="1" operator="lessThan">
      <formula>"FAIL"</formula>
    </cfRule>
  </conditionalFormatting>
  <conditionalFormatting sqref="C16:C21">
    <cfRule type="cellIs" dxfId="5" priority="4" stopIfTrue="1" operator="notEqual">
      <formula>"PASS"</formula>
    </cfRule>
    <cfRule type="cellIs" dxfId="4" priority="5" stopIfTrue="1" operator="lessThan">
      <formula>"FAIL"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E075-4357-47DB-A509-F638FE803DE4}">
  <dimension ref="A1:C16"/>
  <sheetViews>
    <sheetView workbookViewId="0">
      <selection activeCell="A2" sqref="A2:A16"/>
    </sheetView>
  </sheetViews>
  <sheetFormatPr defaultRowHeight="14.5" x14ac:dyDescent="0.35"/>
  <sheetData>
    <row r="1" spans="1:3" x14ac:dyDescent="0.35">
      <c r="A1" s="3" t="s">
        <v>115</v>
      </c>
      <c r="B1" s="3" t="s">
        <v>116</v>
      </c>
      <c r="C1" s="3" t="s">
        <v>117</v>
      </c>
    </row>
    <row r="2" spans="1:3" x14ac:dyDescent="0.35">
      <c r="A2">
        <v>5001</v>
      </c>
      <c r="B2" t="str">
        <f>IF(ISERROR(MATCH(A2, Target_Orders!A:A, 0)), "MISSING", IF(VLOOKUP(A2, Source_Orders!A:H, 8, FALSE)=VLOOKUP(A2, Target_Orders!A:H, 8, FALSE), "Match", "MISMATCH"))</f>
        <v>Match</v>
      </c>
      <c r="C2" t="str">
        <f>IF(B2="MISSING", "N/A", IF(VLOOKUP(A2, Source_Orders!A:G, 7, FALSE)=VLOOKUP(A2, Target_Orders!A:G, 7, FALSE), "Match", "DIFF"))</f>
        <v>Match</v>
      </c>
    </row>
    <row r="3" spans="1:3" x14ac:dyDescent="0.35">
      <c r="A3">
        <v>5002</v>
      </c>
      <c r="B3" t="str">
        <f>IF(ISERROR(MATCH(A3, Target_Orders!A:A, 0)), "MISSING", IF(VLOOKUP(A3, Source_Orders!A:H, 8, FALSE)=VLOOKUP(A3, Target_Orders!A:H, 8, FALSE), "Match", "MISMATCH"))</f>
        <v>Match</v>
      </c>
      <c r="C3" t="str">
        <f>IF(B3="MISSING", "N/A", IF(VLOOKUP(A3, Source_Orders!A:G, 7, FALSE)=VLOOKUP(A3, Target_Orders!A:G, 7, FALSE), "Match", "DIFF"))</f>
        <v>Match</v>
      </c>
    </row>
    <row r="4" spans="1:3" x14ac:dyDescent="0.35">
      <c r="A4">
        <v>5003</v>
      </c>
      <c r="B4" t="str">
        <f>IF(ISERROR(MATCH(A4, Target_Orders!A:A, 0)), "MISSING", IF(VLOOKUP(A4, Source_Orders!A:H, 8, FALSE)=VLOOKUP(A4, Target_Orders!A:H, 8, FALSE), "Match", "MISMATCH"))</f>
        <v>Match</v>
      </c>
      <c r="C4" t="str">
        <f>IF(B4="MISSING", "N/A", IF(VLOOKUP(A4, Source_Orders!A:G, 7, FALSE)=VLOOKUP(A4, Target_Orders!A:G, 7, FALSE), "Match", "DIFF"))</f>
        <v>Match</v>
      </c>
    </row>
    <row r="5" spans="1:3" x14ac:dyDescent="0.35">
      <c r="A5">
        <v>5004</v>
      </c>
      <c r="B5" t="str">
        <f>IF(ISERROR(MATCH(A5, Target_Orders!A:A, 0)), "MISSING", IF(VLOOKUP(A5, Source_Orders!A:H, 8, FALSE)=VLOOKUP(A5, Target_Orders!A:H, 8, FALSE), "Match", "MISMATCH"))</f>
        <v>Match</v>
      </c>
      <c r="C5" t="str">
        <f>IF(B5="MISSING", "N/A", IF(VLOOKUP(A5, Source_Orders!A:G, 7, FALSE)=VLOOKUP(A5, Target_Orders!A:G, 7, FALSE), "Match", "DIFF"))</f>
        <v>Match</v>
      </c>
    </row>
    <row r="6" spans="1:3" x14ac:dyDescent="0.35">
      <c r="A6">
        <v>5005</v>
      </c>
      <c r="B6" t="str">
        <f>IF(ISERROR(MATCH(A6, Target_Orders!A:A, 0)), "MISSING", IF(VLOOKUP(A6, Source_Orders!A:H, 8, FALSE)=VLOOKUP(A6, Target_Orders!A:H, 8, FALSE), "Match", "MISMATCH"))</f>
        <v>Match</v>
      </c>
      <c r="C6" t="str">
        <f>IF(B6="MISSING", "N/A", IF(VLOOKUP(A6, Source_Orders!A:G, 7, FALSE)=VLOOKUP(A6, Target_Orders!A:G, 7, FALSE), "Match", "DIFF"))</f>
        <v>Match</v>
      </c>
    </row>
    <row r="7" spans="1:3" x14ac:dyDescent="0.35">
      <c r="A7">
        <v>5006</v>
      </c>
      <c r="B7" t="str">
        <f>IF(ISERROR(MATCH(A7, Target_Orders!A:A, 0)), "MISSING", IF(VLOOKUP(A7, Source_Orders!A:H, 8, FALSE)=VLOOKUP(A7, Target_Orders!A:H, 8, FALSE), "Match", "MISMATCH"))</f>
        <v>Match</v>
      </c>
      <c r="C7" t="str">
        <f>IF(B7="MISSING", "N/A", IF(VLOOKUP(A7, Source_Orders!A:G, 7, FALSE)=VLOOKUP(A7, Target_Orders!A:G, 7, FALSE), "Match", "DIFF"))</f>
        <v>Match</v>
      </c>
    </row>
    <row r="8" spans="1:3" x14ac:dyDescent="0.35">
      <c r="A8">
        <v>5007</v>
      </c>
      <c r="B8" t="str">
        <f>IF(ISERROR(MATCH(A8, Target_Orders!A:A, 0)), "MISSING", IF(VLOOKUP(A8, Source_Orders!A:H, 8, FALSE)=VLOOKUP(A8, Target_Orders!A:H, 8, FALSE), "Match", "MISMATCH"))</f>
        <v>Match</v>
      </c>
      <c r="C8" t="str">
        <f>IF(B8="MISSING", "N/A", IF(VLOOKUP(A8, Source_Orders!A:G, 7, FALSE)=VLOOKUP(A8, Target_Orders!A:G, 7, FALSE), "Match", "DIFF"))</f>
        <v>Match</v>
      </c>
    </row>
    <row r="9" spans="1:3" x14ac:dyDescent="0.35">
      <c r="A9">
        <v>5008</v>
      </c>
      <c r="B9" t="str">
        <f>IF(ISERROR(MATCH(A9, Target_Orders!A:A, 0)), "MISSING", IF(VLOOKUP(A9, Source_Orders!A:H, 8, FALSE)=VLOOKUP(A9, Target_Orders!A:H, 8, FALSE), "Match", "MISMATCH"))</f>
        <v>Match</v>
      </c>
      <c r="C9" t="str">
        <f>IF(B9="MISSING", "N/A", IF(VLOOKUP(A9, Source_Orders!A:G, 7, FALSE)=VLOOKUP(A9, Target_Orders!A:G, 7, FALSE), "Match", "DIFF"))</f>
        <v>Match</v>
      </c>
    </row>
    <row r="10" spans="1:3" x14ac:dyDescent="0.35">
      <c r="A10">
        <v>5009</v>
      </c>
      <c r="B10" t="str">
        <f>IF(ISERROR(MATCH(A10, Target_Orders!A:A, 0)), "MISSING", IF(VLOOKUP(A10, Source_Orders!A:H, 8, FALSE)=VLOOKUP(A10, Target_Orders!A:H, 8, FALSE), "Match", "MISMATCH"))</f>
        <v>Match</v>
      </c>
      <c r="C10" t="str">
        <f>IF(B10="MISSING", "N/A", IF(VLOOKUP(A10, Source_Orders!A:G, 7, FALSE)=VLOOKUP(A10, Target_Orders!A:G, 7, FALSE), "Match", "DIFF"))</f>
        <v>Match</v>
      </c>
    </row>
    <row r="11" spans="1:3" x14ac:dyDescent="0.35">
      <c r="A11">
        <v>5010</v>
      </c>
      <c r="B11" t="str">
        <f>IF(ISERROR(MATCH(A11, Target_Orders!A:A, 0)), "MISSING", IF(VLOOKUP(A11, Source_Orders!A:H, 8, FALSE)=VLOOKUP(A11, Target_Orders!A:H, 8, FALSE), "Match", "MISMATCH"))</f>
        <v>Match</v>
      </c>
      <c r="C11" t="str">
        <f>IF(B11="MISSING", "N/A", IF(VLOOKUP(A11, Source_Orders!A:G, 7, FALSE)=VLOOKUP(A11, Target_Orders!A:G, 7, FALSE), "Match", "DIFF"))</f>
        <v>Match</v>
      </c>
    </row>
    <row r="12" spans="1:3" x14ac:dyDescent="0.35">
      <c r="A12">
        <v>5011</v>
      </c>
      <c r="B12" t="str">
        <f>IF(ISERROR(MATCH(A12, Target_Orders!A:A, 0)), "MISSING", IF(VLOOKUP(A12, Source_Orders!A:H, 8, FALSE)=VLOOKUP(A12, Target_Orders!A:H, 8, FALSE), "Match", "MISMATCH"))</f>
        <v>Match</v>
      </c>
      <c r="C12" t="str">
        <f>IF(B12="MISSING", "N/A", IF(VLOOKUP(A12, Source_Orders!A:G, 7, FALSE)=VLOOKUP(A12, Target_Orders!A:G, 7, FALSE), "Match", "DIFF"))</f>
        <v>Match</v>
      </c>
    </row>
    <row r="13" spans="1:3" x14ac:dyDescent="0.35">
      <c r="A13">
        <v>5012</v>
      </c>
      <c r="B13" t="str">
        <f>IF(ISERROR(MATCH(A13, Target_Orders!A:A, 0)), "MISSING", IF(VLOOKUP(A13, Source_Orders!A:H, 8, FALSE)=VLOOKUP(A13, Target_Orders!A:H, 8, FALSE), "Match", "MISMATCH"))</f>
        <v>Match</v>
      </c>
      <c r="C13" t="str">
        <f>IF(B13="MISSING", "N/A", IF(VLOOKUP(A13, Source_Orders!A:G, 7, FALSE)=VLOOKUP(A13, Target_Orders!A:G, 7, FALSE), "Match", "DIFF"))</f>
        <v>Match</v>
      </c>
    </row>
    <row r="14" spans="1:3" x14ac:dyDescent="0.35">
      <c r="A14">
        <v>5013</v>
      </c>
      <c r="B14" t="str">
        <f>IF(ISERROR(MATCH(A14, Target_Orders!A:A, 0)), "MISSING", IF(VLOOKUP(A14, Source_Orders!A:H, 8, FALSE)=VLOOKUP(A14, Target_Orders!A:H, 8, FALSE), "Match", "MISMATCH"))</f>
        <v>MISMATCH</v>
      </c>
      <c r="C14" t="str">
        <f>IF(B14="MISSING", "N/A", IF(VLOOKUP(A14, Source_Orders!A:G, 7, FALSE)=VLOOKUP(A14, Target_Orders!A:G, 7, FALSE), "Match", "DIFF"))</f>
        <v>Match</v>
      </c>
    </row>
    <row r="15" spans="1:3" x14ac:dyDescent="0.35">
      <c r="A15">
        <v>5014</v>
      </c>
      <c r="B15" t="str">
        <f>IF(ISERROR(MATCH(A15, Target_Orders!A:A, 0)), "MISSING", IF(VLOOKUP(A15, Source_Orders!A:H, 8, FALSE)=VLOOKUP(A15, Target_Orders!A:H, 8, FALSE), "Match", "MISMATCH"))</f>
        <v>Match</v>
      </c>
      <c r="C15" t="str">
        <f>IF(B15="MISSING", "N/A", IF(VLOOKUP(A15, Source_Orders!A:G, 7, FALSE)=VLOOKUP(A15, Target_Orders!A:G, 7, FALSE), "Match", "DIFF"))</f>
        <v>Match</v>
      </c>
    </row>
    <row r="16" spans="1:3" x14ac:dyDescent="0.35">
      <c r="A16">
        <v>5015</v>
      </c>
      <c r="B16" t="str">
        <f>IF(ISERROR(MATCH(A16, Target_Orders!A:A, 0)), "MISSING", IF(VLOOKUP(A16, Source_Orders!A:H, 8, FALSE)=VLOOKUP(A16, Target_Orders!A:H, 8, FALSE), "Match", "MISMATCH"))</f>
        <v>MISSING</v>
      </c>
      <c r="C16" t="str">
        <f>IF(B16="MISSING", "N/A", IF(VLOOKUP(A16, Source_Orders!A:G, 7, FALSE)=VLOOKUP(A16, Target_Orders!A:G, 7, FALSE), "Match", "DIFF"))</f>
        <v>N/A</v>
      </c>
    </row>
  </sheetData>
  <conditionalFormatting sqref="B2:B16">
    <cfRule type="cellIs" dxfId="1" priority="1" stopIfTrue="1" operator="lessThan">
      <formula>"MISSING"</formula>
    </cfRule>
    <cfRule type="cellIs" dxfId="0" priority="2" stopIfTrue="1" operator="lessThan">
      <formula>"MISMATCH"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5C91-D34B-4855-82ED-837AE403D7AF}">
  <dimension ref="A1:D21"/>
  <sheetViews>
    <sheetView workbookViewId="0">
      <selection activeCell="A2" sqref="A2:A21"/>
    </sheetView>
  </sheetViews>
  <sheetFormatPr defaultRowHeight="14.5" x14ac:dyDescent="0.35"/>
  <sheetData>
    <row r="1" spans="1:4" x14ac:dyDescent="0.35">
      <c r="A1" s="3" t="s">
        <v>111</v>
      </c>
      <c r="B1" s="3" t="s">
        <v>112</v>
      </c>
      <c r="C1" s="3" t="s">
        <v>113</v>
      </c>
      <c r="D1" s="3" t="s">
        <v>114</v>
      </c>
    </row>
    <row r="2" spans="1:4" x14ac:dyDescent="0.35">
      <c r="A2">
        <v>1001</v>
      </c>
      <c r="B2" t="str">
        <f>VLOOKUP(A2, Source_Cust!A:C, 2, FALSE)</f>
        <v>John</v>
      </c>
      <c r="C2" t="str">
        <f>IF(ISNUMBER(MATCH(A2, Target_Cust!A:A, 0)), "Found", "MISSING")</f>
        <v>Found</v>
      </c>
      <c r="D2" t="str">
        <f>IF(C2="MISSING", "N/A", IF(VLOOKUP(A2, Source_Cust!A:D, 4, FALSE) = VLOOKUP(A2, Target_Cust!A:D, 4, FALSE), "Match", "MISMATCH"))</f>
        <v>Match</v>
      </c>
    </row>
    <row r="3" spans="1:4" x14ac:dyDescent="0.35">
      <c r="A3">
        <v>1002</v>
      </c>
      <c r="B3" t="str">
        <f>VLOOKUP(A3, Source_Cust!A:C, 2, FALSE)</f>
        <v>Emma</v>
      </c>
      <c r="C3" t="str">
        <f>IF(ISNUMBER(MATCH(A3, Target_Cust!A:A, 0)), "Found", "MISSING")</f>
        <v>Found</v>
      </c>
      <c r="D3" t="str">
        <f>IF(C3="MISSING", "N/A", IF(VLOOKUP(A3, Source_Cust!A:D, 4, FALSE) = VLOOKUP(A3, Target_Cust!A:D, 4, FALSE), "Match", "MISMATCH"))</f>
        <v>Match</v>
      </c>
    </row>
    <row r="4" spans="1:4" x14ac:dyDescent="0.35">
      <c r="A4">
        <v>1003</v>
      </c>
      <c r="B4" t="str">
        <f>VLOOKUP(A4, Source_Cust!A:C, 2, FALSE)</f>
        <v>Michael</v>
      </c>
      <c r="C4" t="str">
        <f>IF(ISNUMBER(MATCH(A4, Target_Cust!A:A, 0)), "Found", "MISSING")</f>
        <v>Found</v>
      </c>
      <c r="D4" t="str">
        <f>IF(C4="MISSING", "N/A", IF(VLOOKUP(A4, Source_Cust!A:D, 4, FALSE) = VLOOKUP(A4, Target_Cust!A:D, 4, FALSE), "Match", "MISMATCH"))</f>
        <v>Match</v>
      </c>
    </row>
    <row r="5" spans="1:4" x14ac:dyDescent="0.35">
      <c r="A5">
        <v>1004</v>
      </c>
      <c r="B5" t="str">
        <f>VLOOKUP(A5, Source_Cust!A:C, 2, FALSE)</f>
        <v>Sarah</v>
      </c>
      <c r="C5" t="str">
        <f>IF(ISNUMBER(MATCH(A5, Target_Cust!A:A, 0)), "Found", "MISSING")</f>
        <v>Found</v>
      </c>
      <c r="D5" t="str">
        <f>IF(C5="MISSING", "N/A", IF(VLOOKUP(A5, Source_Cust!A:D, 4, FALSE) = VLOOKUP(A5, Target_Cust!A:D, 4, FALSE), "Match", "MISMATCH"))</f>
        <v>Match</v>
      </c>
    </row>
    <row r="6" spans="1:4" x14ac:dyDescent="0.35">
      <c r="A6">
        <v>1005</v>
      </c>
      <c r="B6" t="str">
        <f>VLOOKUP(A6, Source_Cust!A:C, 2, FALSE)</f>
        <v>David</v>
      </c>
      <c r="C6" t="str">
        <f>IF(ISNUMBER(MATCH(A6, Target_Cust!A:A, 0)), "Found", "MISSING")</f>
        <v>Found</v>
      </c>
      <c r="D6" t="str">
        <f>IF(C6="MISSING", "N/A", IF(VLOOKUP(A6, Source_Cust!A:D, 4, FALSE) = VLOOKUP(A6, Target_Cust!A:D, 4, FALSE), "Match", "MISMATCH"))</f>
        <v>Match</v>
      </c>
    </row>
    <row r="7" spans="1:4" x14ac:dyDescent="0.35">
      <c r="A7">
        <v>1006</v>
      </c>
      <c r="B7" t="str">
        <f>VLOOKUP(A7, Source_Cust!A:C, 2, FALSE)</f>
        <v>Lisa</v>
      </c>
      <c r="C7" t="str">
        <f>IF(ISNUMBER(MATCH(A7, Target_Cust!A:A, 0)), "Found", "MISSING")</f>
        <v>Found</v>
      </c>
      <c r="D7" t="str">
        <f>IF(C7="MISSING", "N/A", IF(VLOOKUP(A7, Source_Cust!A:D, 4, FALSE) = VLOOKUP(A7, Target_Cust!A:D, 4, FALSE), "Match", "MISMATCH"))</f>
        <v>Match</v>
      </c>
    </row>
    <row r="8" spans="1:4" x14ac:dyDescent="0.35">
      <c r="A8">
        <v>1007</v>
      </c>
      <c r="B8" t="str">
        <f>VLOOKUP(A8, Source_Cust!A:C, 2, FALSE)</f>
        <v>James</v>
      </c>
      <c r="C8" t="str">
        <f>IF(ISNUMBER(MATCH(A8, Target_Cust!A:A, 0)), "Found", "MISSING")</f>
        <v>Found</v>
      </c>
      <c r="D8" t="str">
        <f>IF(C8="MISSING", "N/A", IF(VLOOKUP(A8, Source_Cust!A:D, 4, FALSE) = VLOOKUP(A8, Target_Cust!A:D, 4, FALSE), "Match", "MISMATCH"))</f>
        <v>Match</v>
      </c>
    </row>
    <row r="9" spans="1:4" x14ac:dyDescent="0.35">
      <c r="A9">
        <v>1008</v>
      </c>
      <c r="B9" t="str">
        <f>VLOOKUP(A9, Source_Cust!A:C, 2, FALSE)</f>
        <v>Maria</v>
      </c>
      <c r="C9" t="str">
        <f>IF(ISNUMBER(MATCH(A9, Target_Cust!A:A, 0)), "Found", "MISSING")</f>
        <v>Found</v>
      </c>
      <c r="D9" t="str">
        <f>IF(C9="MISSING", "N/A", IF(VLOOKUP(A9, Source_Cust!A:D, 4, FALSE) = VLOOKUP(A9, Target_Cust!A:D, 4, FALSE), "Match", "MISMATCH"))</f>
        <v>Match</v>
      </c>
    </row>
    <row r="10" spans="1:4" x14ac:dyDescent="0.35">
      <c r="A10">
        <v>1009</v>
      </c>
      <c r="B10" t="str">
        <f>VLOOKUP(A10, Source_Cust!A:C, 2, FALSE)</f>
        <v>Robert</v>
      </c>
      <c r="C10" t="str">
        <f>IF(ISNUMBER(MATCH(A10, Target_Cust!A:A, 0)), "Found", "MISSING")</f>
        <v>Found</v>
      </c>
      <c r="D10" t="str">
        <f>IF(C10="MISSING", "N/A", IF(VLOOKUP(A10, Source_Cust!A:D, 4, FALSE) = VLOOKUP(A10, Target_Cust!A:D, 4, FALSE), "Match", "MISMATCH"))</f>
        <v>Match</v>
      </c>
    </row>
    <row r="11" spans="1:4" x14ac:dyDescent="0.35">
      <c r="A11">
        <v>1010</v>
      </c>
      <c r="B11" t="str">
        <f>VLOOKUP(A11, Source_Cust!A:C, 2, FALSE)</f>
        <v>Jennifer</v>
      </c>
      <c r="C11" t="str">
        <f>IF(ISNUMBER(MATCH(A11, Target_Cust!A:A, 0)), "Found", "MISSING")</f>
        <v>Found</v>
      </c>
      <c r="D11" t="str">
        <f>IF(C11="MISSING", "N/A", IF(VLOOKUP(A11, Source_Cust!A:D, 4, FALSE) = VLOOKUP(A11, Target_Cust!A:D, 4, FALSE), "Match", "MISMATCH"))</f>
        <v>Match</v>
      </c>
    </row>
    <row r="12" spans="1:4" x14ac:dyDescent="0.35">
      <c r="A12">
        <v>1011</v>
      </c>
      <c r="B12" t="str">
        <f>VLOOKUP(A12, Source_Cust!A:C, 2, FALSE)</f>
        <v>William</v>
      </c>
      <c r="C12" t="str">
        <f>IF(ISNUMBER(MATCH(A12, Target_Cust!A:A, 0)), "Found", "MISSING")</f>
        <v>Found</v>
      </c>
      <c r="D12" t="str">
        <f>IF(C12="MISSING", "N/A", IF(VLOOKUP(A12, Source_Cust!A:D, 4, FALSE) = VLOOKUP(A12, Target_Cust!A:D, 4, FALSE), "Match", "MISMATCH"))</f>
        <v>Match</v>
      </c>
    </row>
    <row r="13" spans="1:4" x14ac:dyDescent="0.35">
      <c r="A13">
        <v>1012</v>
      </c>
      <c r="B13" t="str">
        <f>VLOOKUP(A13, Source_Cust!A:C, 2, FALSE)</f>
        <v>Linda</v>
      </c>
      <c r="C13" t="str">
        <f>IF(ISNUMBER(MATCH(A13, Target_Cust!A:A, 0)), "Found", "MISSING")</f>
        <v>Found</v>
      </c>
      <c r="D13" t="str">
        <f>IF(C13="MISSING", "N/A", IF(VLOOKUP(A13, Source_Cust!A:D, 4, FALSE) = VLOOKUP(A13, Target_Cust!A:D, 4, FALSE), "Match", "MISMATCH"))</f>
        <v>Match</v>
      </c>
    </row>
    <row r="14" spans="1:4" x14ac:dyDescent="0.35">
      <c r="A14">
        <v>1013</v>
      </c>
      <c r="B14" t="str">
        <f>VLOOKUP(A14, Source_Cust!A:C, 2, FALSE)</f>
        <v>Richard</v>
      </c>
      <c r="C14" t="str">
        <f>IF(ISNUMBER(MATCH(A14, Target_Cust!A:A, 0)), "Found", "MISSING")</f>
        <v>Found</v>
      </c>
      <c r="D14" t="str">
        <f>IF(C14="MISSING", "N/A", IF(VLOOKUP(A14, Source_Cust!A:D, 4, FALSE) = VLOOKUP(A14, Target_Cust!A:D, 4, FALSE), "Match", "MISMATCH"))</f>
        <v>Match</v>
      </c>
    </row>
    <row r="15" spans="1:4" x14ac:dyDescent="0.35">
      <c r="A15">
        <v>1014</v>
      </c>
      <c r="B15" t="str">
        <f>VLOOKUP(A15, Source_Cust!A:C, 2, FALSE)</f>
        <v>Patricia</v>
      </c>
      <c r="C15" t="str">
        <f>IF(ISNUMBER(MATCH(A15, Target_Cust!A:A, 0)), "Found", "MISSING")</f>
        <v>MISSING</v>
      </c>
      <c r="D15" t="str">
        <f>IF(C15="MISSING", "N/A", IF(VLOOKUP(A15, Source_Cust!A:D, 4, FALSE) = VLOOKUP(A15, Target_Cust!A:D, 4, FALSE), "Match", "MISMATCH"))</f>
        <v>N/A</v>
      </c>
    </row>
    <row r="16" spans="1:4" x14ac:dyDescent="0.35">
      <c r="A16">
        <v>1015</v>
      </c>
      <c r="B16" t="str">
        <f>VLOOKUP(A16, Source_Cust!A:C, 2, FALSE)</f>
        <v>Charles</v>
      </c>
      <c r="C16" t="str">
        <f>IF(ISNUMBER(MATCH(A16, Target_Cust!A:A, 0)), "Found", "MISSING")</f>
        <v>Found</v>
      </c>
      <c r="D16" t="str">
        <f>IF(C16="MISSING", "N/A", IF(VLOOKUP(A16, Source_Cust!A:D, 4, FALSE) = VLOOKUP(A16, Target_Cust!A:D, 4, FALSE), "Match", "MISMATCH"))</f>
        <v>Match</v>
      </c>
    </row>
    <row r="17" spans="1:4" x14ac:dyDescent="0.35">
      <c r="A17">
        <v>1016</v>
      </c>
      <c r="B17" t="str">
        <f>VLOOKUP(A17, Source_Cust!A:C, 2, FALSE)</f>
        <v>Barbara</v>
      </c>
      <c r="C17" t="str">
        <f>IF(ISNUMBER(MATCH(A17, Target_Cust!A:A, 0)), "Found", "MISSING")</f>
        <v>Found</v>
      </c>
      <c r="D17" t="str">
        <f>IF(C17="MISSING", "N/A", IF(VLOOKUP(A17, Source_Cust!A:D, 4, FALSE) = VLOOKUP(A17, Target_Cust!A:D, 4, FALSE), "Match", "MISMATCH"))</f>
        <v>Match</v>
      </c>
    </row>
    <row r="18" spans="1:4" x14ac:dyDescent="0.35">
      <c r="A18">
        <v>1017</v>
      </c>
      <c r="B18" t="str">
        <f>VLOOKUP(A18, Source_Cust!A:C, 2, FALSE)</f>
        <v>Joseph</v>
      </c>
      <c r="C18" t="str">
        <f>IF(ISNUMBER(MATCH(A18, Target_Cust!A:A, 0)), "Found", "MISSING")</f>
        <v>Found</v>
      </c>
      <c r="D18" t="str">
        <f>IF(C18="MISSING", "N/A", IF(VLOOKUP(A18, Source_Cust!A:D, 4, FALSE) = VLOOKUP(A18, Target_Cust!A:D, 4, FALSE), "Match", "MISMATCH"))</f>
        <v>Match</v>
      </c>
    </row>
    <row r="19" spans="1:4" x14ac:dyDescent="0.35">
      <c r="A19">
        <v>1018</v>
      </c>
      <c r="B19" t="str">
        <f>VLOOKUP(A19, Source_Cust!A:C, 2, FALSE)</f>
        <v>Susan</v>
      </c>
      <c r="C19" t="str">
        <f>IF(ISNUMBER(MATCH(A19, Target_Cust!A:A, 0)), "Found", "MISSING")</f>
        <v>Found</v>
      </c>
      <c r="D19" t="str">
        <f>IF(C19="MISSING", "N/A", IF(VLOOKUP(A19, Source_Cust!A:D, 4, FALSE) = VLOOKUP(A19, Target_Cust!A:D, 4, FALSE), "Match", "MISMATCH"))</f>
        <v>Match</v>
      </c>
    </row>
    <row r="20" spans="1:4" x14ac:dyDescent="0.35">
      <c r="A20">
        <v>1019</v>
      </c>
      <c r="B20" t="str">
        <f>VLOOKUP(A20, Source_Cust!A:C, 2, FALSE)</f>
        <v>Thomas</v>
      </c>
      <c r="C20" t="str">
        <f>IF(ISNUMBER(MATCH(A20, Target_Cust!A:A, 0)), "Found", "MISSING")</f>
        <v>Found</v>
      </c>
      <c r="D20" t="str">
        <f>IF(C20="MISSING", "N/A", IF(VLOOKUP(A20, Source_Cust!A:D, 4, FALSE) = VLOOKUP(A20, Target_Cust!A:D, 4, FALSE), "Match", "MISMATCH"))</f>
        <v>Match</v>
      </c>
    </row>
    <row r="21" spans="1:4" x14ac:dyDescent="0.35">
      <c r="A21">
        <v>1020</v>
      </c>
      <c r="B21" t="str">
        <f>VLOOKUP(A21, Source_Cust!A:C, 2, FALSE)</f>
        <v>Jessica</v>
      </c>
      <c r="C21" t="str">
        <f>IF(ISNUMBER(MATCH(A21, Target_Cust!A:A, 0)), "Found", "MISSING")</f>
        <v>Found</v>
      </c>
      <c r="D21" t="str">
        <f>IF(C21="MISSING", "N/A", IF(VLOOKUP(A21, Source_Cust!A:D, 4, FALSE) = VLOOKUP(A21, Target_Cust!A:D, 4, FALSE), "Match", "MISMATCH"))</f>
        <v>Match</v>
      </c>
    </row>
  </sheetData>
  <conditionalFormatting sqref="C2:C21">
    <cfRule type="cellIs" dxfId="3" priority="1" stopIfTrue="1" operator="lessThan">
      <formula>"MISSING"</formula>
    </cfRule>
  </conditionalFormatting>
  <conditionalFormatting sqref="D2:D21">
    <cfRule type="cellIs" dxfId="2" priority="2" stopIfTrue="1" operator="lessThan">
      <formula>"MISMATCH"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19D3-85D6-40AC-AB28-CD77DB8A2B77}">
  <dimension ref="A1:I21"/>
  <sheetViews>
    <sheetView workbookViewId="0"/>
  </sheetViews>
  <sheetFormatPr defaultRowHeight="14.5" x14ac:dyDescent="0.35"/>
  <cols>
    <col min="1" max="1" width="10.54296875" bestFit="1" customWidth="1"/>
    <col min="2" max="2" width="9.26953125" bestFit="1" customWidth="1"/>
    <col min="3" max="3" width="9.54296875" bestFit="1" customWidth="1"/>
    <col min="4" max="4" width="21.54296875" bestFit="1" customWidth="1"/>
    <col min="5" max="5" width="8.453125" bestFit="1" customWidth="1"/>
    <col min="6" max="6" width="14.54296875" bestFit="1" customWidth="1"/>
    <col min="7" max="7" width="8" bestFit="1" customWidth="1"/>
    <col min="8" max="8" width="10.36328125" bestFit="1" customWidth="1"/>
    <col min="9" max="9" width="9.453125" bestFit="1" customWidth="1"/>
  </cols>
  <sheetData>
    <row r="1" spans="1:9" x14ac:dyDescent="0.35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>
        <v>1001</v>
      </c>
      <c r="B2" t="s">
        <v>24</v>
      </c>
      <c r="C2" t="s">
        <v>25</v>
      </c>
      <c r="D2" t="s">
        <v>26</v>
      </c>
      <c r="E2" t="s">
        <v>27</v>
      </c>
      <c r="F2" s="1">
        <v>45306</v>
      </c>
      <c r="G2" t="s">
        <v>28</v>
      </c>
      <c r="H2">
        <v>12</v>
      </c>
      <c r="I2">
        <v>1250.5</v>
      </c>
    </row>
    <row r="3" spans="1:9" x14ac:dyDescent="0.35">
      <c r="A3">
        <v>1002</v>
      </c>
      <c r="B3" t="s">
        <v>29</v>
      </c>
      <c r="C3" t="s">
        <v>30</v>
      </c>
      <c r="D3" t="s">
        <v>31</v>
      </c>
      <c r="E3" t="s">
        <v>32</v>
      </c>
      <c r="F3" s="1">
        <v>45309</v>
      </c>
      <c r="G3" t="s">
        <v>33</v>
      </c>
      <c r="H3">
        <v>8</v>
      </c>
      <c r="I3">
        <v>890.25</v>
      </c>
    </row>
    <row r="4" spans="1:9" x14ac:dyDescent="0.35">
      <c r="A4">
        <v>1003</v>
      </c>
      <c r="B4" t="s">
        <v>34</v>
      </c>
      <c r="C4" t="s">
        <v>35</v>
      </c>
      <c r="D4" t="s">
        <v>36</v>
      </c>
      <c r="E4" t="s">
        <v>37</v>
      </c>
      <c r="F4" s="1">
        <v>45323</v>
      </c>
      <c r="G4" t="s">
        <v>38</v>
      </c>
      <c r="H4">
        <v>15</v>
      </c>
      <c r="I4">
        <v>2100.75</v>
      </c>
    </row>
    <row r="5" spans="1:9" x14ac:dyDescent="0.35">
      <c r="A5">
        <v>1004</v>
      </c>
      <c r="B5" t="s">
        <v>39</v>
      </c>
      <c r="C5" t="s">
        <v>40</v>
      </c>
      <c r="D5" t="s">
        <v>41</v>
      </c>
      <c r="E5" t="s">
        <v>42</v>
      </c>
      <c r="F5" s="1">
        <v>45332</v>
      </c>
      <c r="G5" t="s">
        <v>28</v>
      </c>
      <c r="H5">
        <v>5</v>
      </c>
      <c r="I5">
        <v>450</v>
      </c>
    </row>
    <row r="6" spans="1:9" x14ac:dyDescent="0.35">
      <c r="A6">
        <v>1005</v>
      </c>
      <c r="B6" t="s">
        <v>43</v>
      </c>
      <c r="C6" t="s">
        <v>44</v>
      </c>
      <c r="D6" t="s">
        <v>45</v>
      </c>
      <c r="E6" t="s">
        <v>46</v>
      </c>
      <c r="F6" s="1">
        <v>45337</v>
      </c>
      <c r="G6" t="s">
        <v>47</v>
      </c>
      <c r="H6">
        <v>20</v>
      </c>
      <c r="I6">
        <v>3500</v>
      </c>
    </row>
    <row r="7" spans="1:9" x14ac:dyDescent="0.35">
      <c r="A7">
        <v>1006</v>
      </c>
      <c r="B7" t="s">
        <v>48</v>
      </c>
      <c r="C7" t="s">
        <v>49</v>
      </c>
      <c r="D7" t="s">
        <v>50</v>
      </c>
      <c r="E7" t="s">
        <v>51</v>
      </c>
      <c r="F7" s="1">
        <v>45352</v>
      </c>
      <c r="G7" t="s">
        <v>28</v>
      </c>
      <c r="H7">
        <v>10</v>
      </c>
      <c r="I7">
        <v>1200.3</v>
      </c>
    </row>
    <row r="8" spans="1:9" x14ac:dyDescent="0.35">
      <c r="A8">
        <v>1007</v>
      </c>
      <c r="B8" t="s">
        <v>52</v>
      </c>
      <c r="C8" t="s">
        <v>53</v>
      </c>
      <c r="D8" t="s">
        <v>54</v>
      </c>
      <c r="E8" t="s">
        <v>55</v>
      </c>
      <c r="F8" s="1">
        <v>45356</v>
      </c>
      <c r="G8" t="s">
        <v>33</v>
      </c>
      <c r="H8">
        <v>7</v>
      </c>
      <c r="I8">
        <v>680.5</v>
      </c>
    </row>
    <row r="9" spans="1:9" x14ac:dyDescent="0.35">
      <c r="A9">
        <v>1008</v>
      </c>
      <c r="B9" t="s">
        <v>56</v>
      </c>
      <c r="C9" t="s">
        <v>57</v>
      </c>
      <c r="D9" t="s">
        <v>58</v>
      </c>
      <c r="E9" t="s">
        <v>59</v>
      </c>
      <c r="F9" s="1">
        <v>45361</v>
      </c>
      <c r="G9" t="s">
        <v>38</v>
      </c>
      <c r="H9">
        <v>18</v>
      </c>
      <c r="I9">
        <v>2450.9</v>
      </c>
    </row>
    <row r="10" spans="1:9" x14ac:dyDescent="0.35">
      <c r="A10">
        <v>1009</v>
      </c>
      <c r="B10" t="s">
        <v>60</v>
      </c>
      <c r="C10" t="s">
        <v>61</v>
      </c>
      <c r="D10" t="s">
        <v>62</v>
      </c>
      <c r="E10" t="s">
        <v>63</v>
      </c>
      <c r="F10" s="1">
        <v>45366</v>
      </c>
      <c r="G10" t="s">
        <v>28</v>
      </c>
      <c r="H10">
        <v>9</v>
      </c>
      <c r="I10">
        <v>950</v>
      </c>
    </row>
    <row r="11" spans="1:9" x14ac:dyDescent="0.35">
      <c r="A11">
        <v>1010</v>
      </c>
      <c r="B11" t="s">
        <v>64</v>
      </c>
      <c r="C11" t="s">
        <v>65</v>
      </c>
      <c r="D11" t="s">
        <v>66</v>
      </c>
      <c r="E11" t="s">
        <v>67</v>
      </c>
      <c r="F11" s="1">
        <v>45371</v>
      </c>
      <c r="G11" t="s">
        <v>28</v>
      </c>
      <c r="H11">
        <v>11</v>
      </c>
      <c r="I11">
        <v>1150.75</v>
      </c>
    </row>
    <row r="12" spans="1:9" x14ac:dyDescent="0.35">
      <c r="A12">
        <v>1011</v>
      </c>
      <c r="B12" t="s">
        <v>68</v>
      </c>
      <c r="C12" t="s">
        <v>69</v>
      </c>
      <c r="D12" t="s">
        <v>70</v>
      </c>
      <c r="E12" t="s">
        <v>71</v>
      </c>
      <c r="F12" s="1">
        <v>45383</v>
      </c>
      <c r="G12" t="s">
        <v>33</v>
      </c>
      <c r="H12">
        <v>6</v>
      </c>
      <c r="I12">
        <v>590</v>
      </c>
    </row>
    <row r="13" spans="1:9" x14ac:dyDescent="0.35">
      <c r="A13">
        <v>1012</v>
      </c>
      <c r="B13" t="s">
        <v>72</v>
      </c>
      <c r="C13" t="s">
        <v>73</v>
      </c>
      <c r="D13" t="s">
        <v>74</v>
      </c>
      <c r="E13" t="s">
        <v>75</v>
      </c>
      <c r="F13" s="1">
        <v>45387</v>
      </c>
      <c r="G13" t="s">
        <v>38</v>
      </c>
      <c r="H13">
        <v>14</v>
      </c>
      <c r="I13">
        <v>1890.4</v>
      </c>
    </row>
    <row r="14" spans="1:9" x14ac:dyDescent="0.35">
      <c r="A14">
        <v>1013</v>
      </c>
      <c r="B14" t="s">
        <v>76</v>
      </c>
      <c r="C14" t="s">
        <v>77</v>
      </c>
      <c r="D14" t="s">
        <v>78</v>
      </c>
      <c r="E14" t="s">
        <v>79</v>
      </c>
      <c r="F14" s="1">
        <v>45392</v>
      </c>
      <c r="G14" t="s">
        <v>47</v>
      </c>
      <c r="H14">
        <v>13</v>
      </c>
      <c r="I14">
        <v>1650.25</v>
      </c>
    </row>
    <row r="15" spans="1:9" x14ac:dyDescent="0.35">
      <c r="A15">
        <v>1014</v>
      </c>
      <c r="B15" t="s">
        <v>107</v>
      </c>
      <c r="C15" t="s">
        <v>108</v>
      </c>
      <c r="D15" t="s">
        <v>109</v>
      </c>
      <c r="E15" t="s">
        <v>110</v>
      </c>
      <c r="F15" s="1">
        <v>45397</v>
      </c>
      <c r="G15" t="s">
        <v>28</v>
      </c>
      <c r="H15">
        <v>16</v>
      </c>
      <c r="I15">
        <v>2200.5</v>
      </c>
    </row>
    <row r="16" spans="1:9" x14ac:dyDescent="0.35">
      <c r="A16">
        <v>1015</v>
      </c>
      <c r="B16" t="s">
        <v>80</v>
      </c>
      <c r="C16" t="s">
        <v>81</v>
      </c>
      <c r="D16" t="s">
        <v>82</v>
      </c>
      <c r="E16" t="s">
        <v>83</v>
      </c>
      <c r="F16" s="1">
        <v>45402</v>
      </c>
      <c r="G16" t="s">
        <v>33</v>
      </c>
      <c r="H16">
        <v>8</v>
      </c>
      <c r="I16">
        <v>820</v>
      </c>
    </row>
    <row r="17" spans="1:9" x14ac:dyDescent="0.35">
      <c r="A17">
        <v>1016</v>
      </c>
      <c r="B17" t="s">
        <v>84</v>
      </c>
      <c r="C17" t="s">
        <v>85</v>
      </c>
      <c r="D17" t="s">
        <v>86</v>
      </c>
      <c r="E17" t="s">
        <v>87</v>
      </c>
      <c r="F17" s="1">
        <v>45413</v>
      </c>
      <c r="G17" t="s">
        <v>38</v>
      </c>
      <c r="H17">
        <v>12</v>
      </c>
      <c r="I17">
        <v>1350.75</v>
      </c>
    </row>
    <row r="18" spans="1:9" x14ac:dyDescent="0.35">
      <c r="A18">
        <v>1017</v>
      </c>
      <c r="B18" t="s">
        <v>88</v>
      </c>
      <c r="C18" t="s">
        <v>89</v>
      </c>
      <c r="D18" t="s">
        <v>90</v>
      </c>
      <c r="E18" t="s">
        <v>91</v>
      </c>
      <c r="F18" s="1">
        <v>45417</v>
      </c>
      <c r="G18" t="s">
        <v>28</v>
      </c>
      <c r="H18">
        <v>19</v>
      </c>
      <c r="I18">
        <v>2850.9</v>
      </c>
    </row>
    <row r="19" spans="1:9" x14ac:dyDescent="0.35">
      <c r="A19">
        <v>1018</v>
      </c>
      <c r="B19" t="s">
        <v>92</v>
      </c>
      <c r="C19" t="s">
        <v>93</v>
      </c>
      <c r="D19" t="s">
        <v>94</v>
      </c>
      <c r="E19" t="s">
        <v>95</v>
      </c>
      <c r="F19" s="1">
        <v>45422</v>
      </c>
      <c r="G19" t="s">
        <v>47</v>
      </c>
      <c r="H19">
        <v>7</v>
      </c>
      <c r="I19">
        <v>720</v>
      </c>
    </row>
    <row r="20" spans="1:9" x14ac:dyDescent="0.35">
      <c r="A20">
        <v>1019</v>
      </c>
      <c r="B20" t="s">
        <v>85</v>
      </c>
      <c r="C20" t="s">
        <v>96</v>
      </c>
      <c r="D20" t="s">
        <v>97</v>
      </c>
      <c r="E20" t="s">
        <v>98</v>
      </c>
      <c r="F20" s="1">
        <v>45427</v>
      </c>
      <c r="G20" t="s">
        <v>28</v>
      </c>
      <c r="H20">
        <v>10</v>
      </c>
      <c r="I20">
        <v>1100.5</v>
      </c>
    </row>
    <row r="21" spans="1:9" x14ac:dyDescent="0.35">
      <c r="A21">
        <v>1020</v>
      </c>
      <c r="B21" t="s">
        <v>99</v>
      </c>
      <c r="C21" t="s">
        <v>100</v>
      </c>
      <c r="D21" t="s">
        <v>101</v>
      </c>
      <c r="E21" t="s">
        <v>102</v>
      </c>
      <c r="F21" s="1">
        <v>45432</v>
      </c>
      <c r="G21" t="s">
        <v>33</v>
      </c>
      <c r="H21">
        <v>9</v>
      </c>
      <c r="I21">
        <v>950.25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543A-44CD-4179-A838-DB7607FFB5F7}">
  <dimension ref="A1:I21"/>
  <sheetViews>
    <sheetView workbookViewId="0"/>
  </sheetViews>
  <sheetFormatPr defaultRowHeight="14.5" x14ac:dyDescent="0.35"/>
  <cols>
    <col min="1" max="1" width="10.54296875" bestFit="1" customWidth="1"/>
    <col min="2" max="2" width="9.26953125" bestFit="1" customWidth="1"/>
    <col min="3" max="3" width="9.54296875" bestFit="1" customWidth="1"/>
    <col min="4" max="4" width="22.7265625" bestFit="1" customWidth="1"/>
    <col min="5" max="5" width="8.453125" bestFit="1" customWidth="1"/>
    <col min="6" max="6" width="14.54296875" bestFit="1" customWidth="1"/>
    <col min="7" max="7" width="8" bestFit="1" customWidth="1"/>
    <col min="8" max="8" width="10.36328125" bestFit="1" customWidth="1"/>
    <col min="9" max="9" width="9.453125" bestFit="1" customWidth="1"/>
  </cols>
  <sheetData>
    <row r="1" spans="1:9" x14ac:dyDescent="0.35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5">
      <c r="A2">
        <v>1001</v>
      </c>
      <c r="B2" t="s">
        <v>24</v>
      </c>
      <c r="C2" t="s">
        <v>25</v>
      </c>
      <c r="D2" t="s">
        <v>26</v>
      </c>
      <c r="E2" t="s">
        <v>27</v>
      </c>
      <c r="F2" s="1">
        <v>45306</v>
      </c>
      <c r="G2" t="s">
        <v>28</v>
      </c>
      <c r="H2">
        <v>12</v>
      </c>
      <c r="I2">
        <v>1250.5</v>
      </c>
    </row>
    <row r="3" spans="1:9" x14ac:dyDescent="0.35">
      <c r="A3">
        <v>1002</v>
      </c>
      <c r="B3" t="s">
        <v>29</v>
      </c>
      <c r="C3" t="s">
        <v>30</v>
      </c>
      <c r="D3" t="s">
        <v>31</v>
      </c>
      <c r="E3" t="s">
        <v>32</v>
      </c>
      <c r="F3" s="1">
        <v>45309</v>
      </c>
      <c r="G3" t="s">
        <v>33</v>
      </c>
      <c r="H3">
        <v>8</v>
      </c>
      <c r="I3">
        <v>890.25</v>
      </c>
    </row>
    <row r="4" spans="1:9" x14ac:dyDescent="0.35">
      <c r="A4">
        <v>1003</v>
      </c>
      <c r="B4" t="s">
        <v>34</v>
      </c>
      <c r="C4" t="s">
        <v>35</v>
      </c>
      <c r="D4" t="s">
        <v>36</v>
      </c>
      <c r="E4" t="s">
        <v>37</v>
      </c>
      <c r="F4" s="1">
        <v>45323</v>
      </c>
      <c r="G4" t="s">
        <v>38</v>
      </c>
      <c r="H4">
        <v>15</v>
      </c>
      <c r="I4">
        <v>2100.75</v>
      </c>
    </row>
    <row r="5" spans="1:9" x14ac:dyDescent="0.35">
      <c r="A5">
        <v>1004</v>
      </c>
      <c r="B5" t="s">
        <v>39</v>
      </c>
      <c r="C5" t="s">
        <v>40</v>
      </c>
      <c r="D5" t="s">
        <v>41</v>
      </c>
      <c r="E5" t="s">
        <v>42</v>
      </c>
      <c r="F5" s="1">
        <v>45332</v>
      </c>
      <c r="G5" t="s">
        <v>28</v>
      </c>
      <c r="H5">
        <v>5</v>
      </c>
      <c r="I5">
        <v>450</v>
      </c>
    </row>
    <row r="6" spans="1:9" x14ac:dyDescent="0.35">
      <c r="A6">
        <v>1005</v>
      </c>
      <c r="B6" t="s">
        <v>43</v>
      </c>
      <c r="C6" t="s">
        <v>44</v>
      </c>
      <c r="D6" t="s">
        <v>45</v>
      </c>
      <c r="E6" t="s">
        <v>46</v>
      </c>
      <c r="F6" s="1">
        <v>45337</v>
      </c>
      <c r="G6" t="s">
        <v>47</v>
      </c>
      <c r="H6">
        <v>20</v>
      </c>
      <c r="I6">
        <v>3500</v>
      </c>
    </row>
    <row r="7" spans="1:9" x14ac:dyDescent="0.35">
      <c r="A7">
        <v>1006</v>
      </c>
      <c r="B7" t="s">
        <v>48</v>
      </c>
      <c r="C7" t="s">
        <v>49</v>
      </c>
      <c r="D7" t="s">
        <v>50</v>
      </c>
      <c r="E7" t="s">
        <v>51</v>
      </c>
      <c r="F7" s="1">
        <v>45352</v>
      </c>
      <c r="G7" t="s">
        <v>28</v>
      </c>
      <c r="H7">
        <v>10</v>
      </c>
      <c r="I7">
        <v>1200.3</v>
      </c>
    </row>
    <row r="8" spans="1:9" x14ac:dyDescent="0.35">
      <c r="A8">
        <v>1007</v>
      </c>
      <c r="B8" t="s">
        <v>52</v>
      </c>
      <c r="C8" t="s">
        <v>53</v>
      </c>
      <c r="D8" t="s">
        <v>54</v>
      </c>
      <c r="E8" t="s">
        <v>55</v>
      </c>
      <c r="F8" s="1">
        <v>45356</v>
      </c>
      <c r="G8" t="s">
        <v>33</v>
      </c>
      <c r="H8">
        <v>7</v>
      </c>
      <c r="I8">
        <v>680.5</v>
      </c>
    </row>
    <row r="9" spans="1:9" x14ac:dyDescent="0.35">
      <c r="A9">
        <v>1008</v>
      </c>
      <c r="B9" t="s">
        <v>56</v>
      </c>
      <c r="C9" t="s">
        <v>57</v>
      </c>
      <c r="D9" t="s">
        <v>58</v>
      </c>
      <c r="E9" t="s">
        <v>59</v>
      </c>
      <c r="F9" s="1">
        <v>45361</v>
      </c>
      <c r="G9" t="s">
        <v>38</v>
      </c>
      <c r="H9">
        <v>18</v>
      </c>
      <c r="I9">
        <v>2450.9</v>
      </c>
    </row>
    <row r="10" spans="1:9" x14ac:dyDescent="0.35">
      <c r="A10">
        <v>1009</v>
      </c>
      <c r="B10" t="s">
        <v>60</v>
      </c>
      <c r="C10" t="s">
        <v>61</v>
      </c>
      <c r="D10" t="s">
        <v>62</v>
      </c>
      <c r="E10" t="s">
        <v>63</v>
      </c>
      <c r="F10" s="1">
        <v>45366</v>
      </c>
      <c r="G10" t="s">
        <v>28</v>
      </c>
      <c r="H10">
        <v>9</v>
      </c>
      <c r="I10">
        <v>950</v>
      </c>
    </row>
    <row r="11" spans="1:9" x14ac:dyDescent="0.35">
      <c r="A11">
        <v>1010</v>
      </c>
      <c r="B11" t="s">
        <v>64</v>
      </c>
      <c r="C11" t="s">
        <v>65</v>
      </c>
      <c r="D11" t="s">
        <v>66</v>
      </c>
      <c r="E11" t="s">
        <v>67</v>
      </c>
      <c r="F11" s="1">
        <v>45371</v>
      </c>
      <c r="G11" t="s">
        <v>28</v>
      </c>
      <c r="H11">
        <v>11</v>
      </c>
      <c r="I11">
        <v>1150.75</v>
      </c>
    </row>
    <row r="12" spans="1:9" x14ac:dyDescent="0.35">
      <c r="A12">
        <v>1011</v>
      </c>
      <c r="B12" t="s">
        <v>68</v>
      </c>
      <c r="C12" t="s">
        <v>69</v>
      </c>
      <c r="D12" t="s">
        <v>70</v>
      </c>
      <c r="E12" t="s">
        <v>71</v>
      </c>
      <c r="F12" s="1">
        <v>45383</v>
      </c>
      <c r="G12" t="s">
        <v>33</v>
      </c>
      <c r="H12">
        <v>6</v>
      </c>
      <c r="I12">
        <v>590</v>
      </c>
    </row>
    <row r="13" spans="1:9" x14ac:dyDescent="0.35">
      <c r="A13">
        <v>1012</v>
      </c>
      <c r="B13" t="s">
        <v>72</v>
      </c>
      <c r="C13" t="s">
        <v>73</v>
      </c>
      <c r="D13" t="s">
        <v>74</v>
      </c>
      <c r="E13" t="s">
        <v>75</v>
      </c>
      <c r="F13" s="1">
        <v>45387</v>
      </c>
      <c r="G13" t="s">
        <v>38</v>
      </c>
      <c r="H13">
        <v>14</v>
      </c>
      <c r="I13">
        <v>1890.4</v>
      </c>
    </row>
    <row r="14" spans="1:9" x14ac:dyDescent="0.35">
      <c r="A14">
        <v>1013</v>
      </c>
      <c r="B14" t="s">
        <v>76</v>
      </c>
      <c r="C14" t="s">
        <v>77</v>
      </c>
      <c r="D14" t="s">
        <v>78</v>
      </c>
      <c r="E14" t="s">
        <v>79</v>
      </c>
      <c r="F14" s="1">
        <v>45392</v>
      </c>
      <c r="G14" t="s">
        <v>47</v>
      </c>
      <c r="H14">
        <v>13</v>
      </c>
      <c r="I14">
        <v>1650.25</v>
      </c>
    </row>
    <row r="15" spans="1:9" x14ac:dyDescent="0.35">
      <c r="A15">
        <v>1015</v>
      </c>
      <c r="B15" t="s">
        <v>80</v>
      </c>
      <c r="C15" t="s">
        <v>81</v>
      </c>
      <c r="D15" t="s">
        <v>82</v>
      </c>
      <c r="E15" t="s">
        <v>83</v>
      </c>
      <c r="F15" s="1">
        <v>45402</v>
      </c>
      <c r="G15" t="s">
        <v>33</v>
      </c>
      <c r="H15">
        <v>8</v>
      </c>
      <c r="I15">
        <v>820</v>
      </c>
    </row>
    <row r="16" spans="1:9" x14ac:dyDescent="0.35">
      <c r="A16">
        <v>1016</v>
      </c>
      <c r="B16" t="s">
        <v>84</v>
      </c>
      <c r="C16" t="s">
        <v>85</v>
      </c>
      <c r="D16" t="s">
        <v>86</v>
      </c>
      <c r="E16" t="s">
        <v>87</v>
      </c>
      <c r="F16" s="1">
        <v>45413</v>
      </c>
      <c r="G16" t="s">
        <v>38</v>
      </c>
      <c r="H16">
        <v>12</v>
      </c>
      <c r="I16">
        <v>1350.75</v>
      </c>
    </row>
    <row r="17" spans="1:9" x14ac:dyDescent="0.35">
      <c r="A17">
        <v>1017</v>
      </c>
      <c r="B17" t="s">
        <v>88</v>
      </c>
      <c r="C17" t="s">
        <v>89</v>
      </c>
      <c r="D17" t="s">
        <v>90</v>
      </c>
      <c r="E17" t="s">
        <v>91</v>
      </c>
      <c r="F17" s="1">
        <v>45417</v>
      </c>
      <c r="G17" t="s">
        <v>28</v>
      </c>
      <c r="H17">
        <v>19</v>
      </c>
      <c r="I17">
        <v>2850.9</v>
      </c>
    </row>
    <row r="18" spans="1:9" x14ac:dyDescent="0.35">
      <c r="A18">
        <v>1018</v>
      </c>
      <c r="B18" t="s">
        <v>92</v>
      </c>
      <c r="C18" t="s">
        <v>93</v>
      </c>
      <c r="D18" t="s">
        <v>94</v>
      </c>
      <c r="E18" t="s">
        <v>95</v>
      </c>
      <c r="F18" s="1">
        <v>45422</v>
      </c>
      <c r="G18" t="s">
        <v>47</v>
      </c>
      <c r="H18">
        <v>7</v>
      </c>
      <c r="I18">
        <v>720</v>
      </c>
    </row>
    <row r="19" spans="1:9" x14ac:dyDescent="0.35">
      <c r="A19">
        <v>1019</v>
      </c>
      <c r="B19" t="s">
        <v>85</v>
      </c>
      <c r="C19" t="s">
        <v>96</v>
      </c>
      <c r="D19" t="s">
        <v>97</v>
      </c>
      <c r="E19" t="s">
        <v>98</v>
      </c>
      <c r="F19" s="1">
        <v>45427</v>
      </c>
      <c r="G19" t="s">
        <v>28</v>
      </c>
      <c r="H19">
        <v>10</v>
      </c>
      <c r="I19">
        <v>1100.5</v>
      </c>
    </row>
    <row r="20" spans="1:9" x14ac:dyDescent="0.35">
      <c r="A20">
        <v>1020</v>
      </c>
      <c r="B20" t="s">
        <v>99</v>
      </c>
      <c r="C20" t="s">
        <v>100</v>
      </c>
      <c r="D20" t="s">
        <v>101</v>
      </c>
      <c r="E20" t="s">
        <v>102</v>
      </c>
      <c r="F20" s="1">
        <v>45432</v>
      </c>
      <c r="G20" t="s">
        <v>33</v>
      </c>
      <c r="H20">
        <v>9</v>
      </c>
      <c r="I20">
        <v>950.25</v>
      </c>
    </row>
    <row r="21" spans="1:9" x14ac:dyDescent="0.35">
      <c r="A21">
        <v>1021</v>
      </c>
      <c r="B21" t="s">
        <v>103</v>
      </c>
      <c r="C21" t="s">
        <v>104</v>
      </c>
      <c r="D21" t="s">
        <v>105</v>
      </c>
      <c r="E21" t="s">
        <v>106</v>
      </c>
      <c r="F21" s="1">
        <v>45437</v>
      </c>
      <c r="G21" t="s">
        <v>28</v>
      </c>
      <c r="H21">
        <v>4</v>
      </c>
      <c r="I21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36B9-94B8-4B68-8926-8C9246F6B374}">
  <dimension ref="A1:H16"/>
  <sheetViews>
    <sheetView workbookViewId="0"/>
  </sheetViews>
  <sheetFormatPr defaultRowHeight="14.5" x14ac:dyDescent="0.35"/>
  <cols>
    <col min="1" max="1" width="7.1796875" bestFit="1" customWidth="1"/>
    <col min="2" max="2" width="10.54296875" bestFit="1" customWidth="1"/>
    <col min="3" max="3" width="10.08984375" bestFit="1" customWidth="1"/>
    <col min="4" max="4" width="12" bestFit="1" customWidth="1"/>
    <col min="5" max="5" width="7.7265625" bestFit="1" customWidth="1"/>
    <col min="6" max="6" width="8.36328125" bestFit="1" customWidth="1"/>
    <col min="7" max="7" width="11.08984375" bestFit="1" customWidth="1"/>
    <col min="8" max="8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5001</v>
      </c>
      <c r="B2">
        <v>1001</v>
      </c>
      <c r="C2" s="1">
        <v>45444</v>
      </c>
      <c r="D2" t="s">
        <v>8</v>
      </c>
      <c r="E2">
        <v>1</v>
      </c>
      <c r="F2">
        <v>899.99</v>
      </c>
      <c r="G2">
        <v>899.99</v>
      </c>
      <c r="H2" t="s">
        <v>9</v>
      </c>
    </row>
    <row r="3" spans="1:8" x14ac:dyDescent="0.35">
      <c r="A3">
        <v>5002</v>
      </c>
      <c r="B3">
        <v>1001</v>
      </c>
      <c r="C3" s="1">
        <v>45448</v>
      </c>
      <c r="D3" t="s">
        <v>10</v>
      </c>
      <c r="E3">
        <v>2</v>
      </c>
      <c r="F3">
        <v>25.5</v>
      </c>
      <c r="G3">
        <v>51</v>
      </c>
      <c r="H3" t="s">
        <v>9</v>
      </c>
    </row>
    <row r="4" spans="1:8" x14ac:dyDescent="0.35">
      <c r="A4">
        <v>5003</v>
      </c>
      <c r="B4">
        <v>1002</v>
      </c>
      <c r="C4" s="1">
        <v>45445</v>
      </c>
      <c r="D4" t="s">
        <v>11</v>
      </c>
      <c r="E4">
        <v>1</v>
      </c>
      <c r="F4">
        <v>75</v>
      </c>
      <c r="G4">
        <v>75</v>
      </c>
      <c r="H4" t="s">
        <v>9</v>
      </c>
    </row>
    <row r="5" spans="1:8" x14ac:dyDescent="0.35">
      <c r="A5">
        <v>5004</v>
      </c>
      <c r="B5">
        <v>1003</v>
      </c>
      <c r="C5" s="1">
        <v>45446</v>
      </c>
      <c r="D5" t="s">
        <v>12</v>
      </c>
      <c r="E5">
        <v>2</v>
      </c>
      <c r="F5">
        <v>199.99</v>
      </c>
      <c r="G5">
        <v>399.98</v>
      </c>
      <c r="H5" t="s">
        <v>9</v>
      </c>
    </row>
    <row r="6" spans="1:8" x14ac:dyDescent="0.35">
      <c r="A6">
        <v>5005</v>
      </c>
      <c r="B6">
        <v>1004</v>
      </c>
      <c r="C6" s="1">
        <v>45447</v>
      </c>
      <c r="D6" t="s">
        <v>8</v>
      </c>
      <c r="E6">
        <v>1</v>
      </c>
      <c r="F6">
        <v>899.99</v>
      </c>
      <c r="G6">
        <v>899.99</v>
      </c>
      <c r="H6" t="s">
        <v>13</v>
      </c>
    </row>
    <row r="7" spans="1:8" x14ac:dyDescent="0.35">
      <c r="A7">
        <v>5006</v>
      </c>
      <c r="B7">
        <v>1005</v>
      </c>
      <c r="C7" s="1">
        <v>45449</v>
      </c>
      <c r="D7" t="s">
        <v>14</v>
      </c>
      <c r="E7">
        <v>1</v>
      </c>
      <c r="F7">
        <v>499.99</v>
      </c>
      <c r="G7">
        <v>499.99</v>
      </c>
      <c r="H7" t="s">
        <v>9</v>
      </c>
    </row>
    <row r="8" spans="1:8" x14ac:dyDescent="0.35">
      <c r="A8">
        <v>5007</v>
      </c>
      <c r="B8">
        <v>1006</v>
      </c>
      <c r="C8" s="1">
        <v>45450</v>
      </c>
      <c r="D8" t="s">
        <v>10</v>
      </c>
      <c r="E8">
        <v>3</v>
      </c>
      <c r="F8">
        <v>25.5</v>
      </c>
      <c r="G8">
        <v>76.5</v>
      </c>
      <c r="H8" t="s">
        <v>9</v>
      </c>
    </row>
    <row r="9" spans="1:8" x14ac:dyDescent="0.35">
      <c r="A9">
        <v>5008</v>
      </c>
      <c r="B9">
        <v>1007</v>
      </c>
      <c r="C9" s="1">
        <v>45451</v>
      </c>
      <c r="D9" t="s">
        <v>11</v>
      </c>
      <c r="E9">
        <v>2</v>
      </c>
      <c r="F9">
        <v>75</v>
      </c>
      <c r="G9">
        <v>150</v>
      </c>
      <c r="H9" t="s">
        <v>9</v>
      </c>
    </row>
    <row r="10" spans="1:8" x14ac:dyDescent="0.35">
      <c r="A10">
        <v>5009</v>
      </c>
      <c r="B10">
        <v>1008</v>
      </c>
      <c r="C10" s="1">
        <v>45452</v>
      </c>
      <c r="D10" t="s">
        <v>12</v>
      </c>
      <c r="E10">
        <v>1</v>
      </c>
      <c r="F10">
        <v>199.99</v>
      </c>
      <c r="G10">
        <v>199.99</v>
      </c>
      <c r="H10" t="s">
        <v>15</v>
      </c>
    </row>
    <row r="11" spans="1:8" x14ac:dyDescent="0.35">
      <c r="A11">
        <v>5010</v>
      </c>
      <c r="B11">
        <v>1009</v>
      </c>
      <c r="C11" s="1">
        <v>45453</v>
      </c>
      <c r="D11" t="s">
        <v>8</v>
      </c>
      <c r="E11">
        <v>1</v>
      </c>
      <c r="F11">
        <v>899.99</v>
      </c>
      <c r="G11">
        <v>899.99</v>
      </c>
      <c r="H11" t="s">
        <v>9</v>
      </c>
    </row>
    <row r="12" spans="1:8" x14ac:dyDescent="0.35">
      <c r="A12">
        <v>5011</v>
      </c>
      <c r="B12">
        <v>1010</v>
      </c>
      <c r="C12" s="1">
        <v>45454</v>
      </c>
      <c r="D12" t="s">
        <v>14</v>
      </c>
      <c r="E12">
        <v>2</v>
      </c>
      <c r="F12">
        <v>499.99</v>
      </c>
      <c r="G12">
        <v>999.98</v>
      </c>
      <c r="H12" t="s">
        <v>9</v>
      </c>
    </row>
    <row r="13" spans="1:8" x14ac:dyDescent="0.35">
      <c r="A13">
        <v>5012</v>
      </c>
      <c r="B13">
        <v>1011</v>
      </c>
      <c r="C13" s="1">
        <v>45455</v>
      </c>
      <c r="D13" t="s">
        <v>10</v>
      </c>
      <c r="E13">
        <v>1</v>
      </c>
      <c r="F13">
        <v>25.5</v>
      </c>
      <c r="G13">
        <v>25.5</v>
      </c>
      <c r="H13" t="s">
        <v>9</v>
      </c>
    </row>
    <row r="14" spans="1:8" x14ac:dyDescent="0.35">
      <c r="A14">
        <v>5013</v>
      </c>
      <c r="B14">
        <v>1012</v>
      </c>
      <c r="C14" s="1">
        <v>45456</v>
      </c>
      <c r="D14" t="s">
        <v>11</v>
      </c>
      <c r="E14">
        <v>1</v>
      </c>
      <c r="F14">
        <v>75</v>
      </c>
      <c r="G14">
        <v>75</v>
      </c>
      <c r="H14" t="s">
        <v>13</v>
      </c>
    </row>
    <row r="15" spans="1:8" x14ac:dyDescent="0.35">
      <c r="A15">
        <v>5014</v>
      </c>
      <c r="B15">
        <v>1013</v>
      </c>
      <c r="C15" s="1">
        <v>45457</v>
      </c>
      <c r="D15" t="s">
        <v>12</v>
      </c>
      <c r="E15">
        <v>1</v>
      </c>
      <c r="F15">
        <v>199.99</v>
      </c>
      <c r="G15">
        <v>199.99</v>
      </c>
      <c r="H15" t="s">
        <v>9</v>
      </c>
    </row>
    <row r="16" spans="1:8" x14ac:dyDescent="0.35">
      <c r="A16">
        <v>5015</v>
      </c>
      <c r="B16">
        <v>1014</v>
      </c>
      <c r="C16" s="1">
        <v>45458</v>
      </c>
      <c r="D16" t="s">
        <v>8</v>
      </c>
      <c r="E16">
        <v>2</v>
      </c>
      <c r="F16">
        <v>899.99</v>
      </c>
      <c r="G16">
        <v>1799.98</v>
      </c>
      <c r="H16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805F-C275-44AE-A2C4-4DCDB0F8EFBB}">
  <dimension ref="A1:H16"/>
  <sheetViews>
    <sheetView workbookViewId="0"/>
  </sheetViews>
  <sheetFormatPr defaultRowHeight="14.5" x14ac:dyDescent="0.35"/>
  <cols>
    <col min="1" max="1" width="7.1796875" bestFit="1" customWidth="1"/>
    <col min="2" max="2" width="10.54296875" bestFit="1" customWidth="1"/>
    <col min="3" max="3" width="10.08984375" bestFit="1" customWidth="1"/>
    <col min="4" max="4" width="12" bestFit="1" customWidth="1"/>
    <col min="5" max="5" width="7.7265625" bestFit="1" customWidth="1"/>
    <col min="6" max="6" width="8.36328125" bestFit="1" customWidth="1"/>
    <col min="7" max="7" width="11.08984375" bestFit="1" customWidth="1"/>
    <col min="8" max="8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5001</v>
      </c>
      <c r="B2">
        <v>1001</v>
      </c>
      <c r="C2" s="1">
        <v>45444</v>
      </c>
      <c r="D2" t="s">
        <v>8</v>
      </c>
      <c r="E2">
        <v>1</v>
      </c>
      <c r="F2">
        <v>899.99</v>
      </c>
      <c r="G2">
        <v>899.99</v>
      </c>
      <c r="H2" t="s">
        <v>9</v>
      </c>
    </row>
    <row r="3" spans="1:8" x14ac:dyDescent="0.35">
      <c r="A3">
        <v>5002</v>
      </c>
      <c r="B3">
        <v>1001</v>
      </c>
      <c r="C3" s="1">
        <v>45448</v>
      </c>
      <c r="D3" t="s">
        <v>10</v>
      </c>
      <c r="E3">
        <v>2</v>
      </c>
      <c r="F3">
        <v>25.5</v>
      </c>
      <c r="G3">
        <v>51</v>
      </c>
      <c r="H3" t="s">
        <v>9</v>
      </c>
    </row>
    <row r="4" spans="1:8" x14ac:dyDescent="0.35">
      <c r="A4">
        <v>5003</v>
      </c>
      <c r="B4">
        <v>1002</v>
      </c>
      <c r="C4" s="1">
        <v>45445</v>
      </c>
      <c r="D4" t="s">
        <v>11</v>
      </c>
      <c r="E4">
        <v>1</v>
      </c>
      <c r="F4">
        <v>75</v>
      </c>
      <c r="G4">
        <v>75</v>
      </c>
      <c r="H4" t="s">
        <v>9</v>
      </c>
    </row>
    <row r="5" spans="1:8" x14ac:dyDescent="0.35">
      <c r="A5">
        <v>5004</v>
      </c>
      <c r="B5">
        <v>1003</v>
      </c>
      <c r="C5" s="1">
        <v>45446</v>
      </c>
      <c r="D5" t="s">
        <v>12</v>
      </c>
      <c r="E5">
        <v>2</v>
      </c>
      <c r="F5">
        <v>199.99</v>
      </c>
      <c r="G5">
        <v>399.98</v>
      </c>
      <c r="H5" t="s">
        <v>9</v>
      </c>
    </row>
    <row r="6" spans="1:8" x14ac:dyDescent="0.35">
      <c r="A6">
        <v>5005</v>
      </c>
      <c r="B6">
        <v>1004</v>
      </c>
      <c r="C6" s="1">
        <v>45447</v>
      </c>
      <c r="D6" t="s">
        <v>8</v>
      </c>
      <c r="E6">
        <v>1</v>
      </c>
      <c r="F6">
        <v>899.99</v>
      </c>
      <c r="G6">
        <v>899.99</v>
      </c>
      <c r="H6" t="s">
        <v>13</v>
      </c>
    </row>
    <row r="7" spans="1:8" x14ac:dyDescent="0.35">
      <c r="A7">
        <v>5006</v>
      </c>
      <c r="B7">
        <v>1005</v>
      </c>
      <c r="C7" s="1">
        <v>45449</v>
      </c>
      <c r="D7" t="s">
        <v>14</v>
      </c>
      <c r="E7">
        <v>1</v>
      </c>
      <c r="F7">
        <v>499.99</v>
      </c>
      <c r="G7">
        <v>499.99</v>
      </c>
      <c r="H7" t="s">
        <v>9</v>
      </c>
    </row>
    <row r="8" spans="1:8" x14ac:dyDescent="0.35">
      <c r="A8">
        <v>5007</v>
      </c>
      <c r="B8">
        <v>1006</v>
      </c>
      <c r="C8" s="1">
        <v>45450</v>
      </c>
      <c r="D8" t="s">
        <v>10</v>
      </c>
      <c r="E8">
        <v>3</v>
      </c>
      <c r="F8">
        <v>25.5</v>
      </c>
      <c r="G8">
        <v>76.5</v>
      </c>
      <c r="H8" t="s">
        <v>9</v>
      </c>
    </row>
    <row r="9" spans="1:8" x14ac:dyDescent="0.35">
      <c r="A9">
        <v>5008</v>
      </c>
      <c r="B9">
        <v>1007</v>
      </c>
      <c r="C9" s="1">
        <v>45451</v>
      </c>
      <c r="D9" t="s">
        <v>11</v>
      </c>
      <c r="E9">
        <v>2</v>
      </c>
      <c r="F9">
        <v>75</v>
      </c>
      <c r="G9">
        <v>150</v>
      </c>
      <c r="H9" t="s">
        <v>9</v>
      </c>
    </row>
    <row r="10" spans="1:8" x14ac:dyDescent="0.35">
      <c r="A10">
        <v>5009</v>
      </c>
      <c r="B10">
        <v>1008</v>
      </c>
      <c r="C10" s="1">
        <v>45452</v>
      </c>
      <c r="D10" t="s">
        <v>12</v>
      </c>
      <c r="E10">
        <v>1</v>
      </c>
      <c r="F10">
        <v>199.99</v>
      </c>
      <c r="G10">
        <v>199.99</v>
      </c>
      <c r="H10" t="s">
        <v>15</v>
      </c>
    </row>
    <row r="11" spans="1:8" x14ac:dyDescent="0.35">
      <c r="A11">
        <v>5010</v>
      </c>
      <c r="B11">
        <v>1009</v>
      </c>
      <c r="C11" s="1">
        <v>45453</v>
      </c>
      <c r="D11" t="s">
        <v>8</v>
      </c>
      <c r="E11">
        <v>1</v>
      </c>
      <c r="F11">
        <v>899.99</v>
      </c>
      <c r="G11">
        <v>899.99</v>
      </c>
      <c r="H11" t="s">
        <v>9</v>
      </c>
    </row>
    <row r="12" spans="1:8" x14ac:dyDescent="0.35">
      <c r="A12">
        <v>5011</v>
      </c>
      <c r="B12">
        <v>1010</v>
      </c>
      <c r="C12" s="1">
        <v>45454</v>
      </c>
      <c r="D12" t="s">
        <v>14</v>
      </c>
      <c r="E12">
        <v>2</v>
      </c>
      <c r="F12">
        <v>499.99</v>
      </c>
      <c r="G12">
        <v>999.98</v>
      </c>
      <c r="H12" t="s">
        <v>9</v>
      </c>
    </row>
    <row r="13" spans="1:8" x14ac:dyDescent="0.35">
      <c r="A13">
        <v>5012</v>
      </c>
      <c r="B13">
        <v>1011</v>
      </c>
      <c r="C13" s="1">
        <v>45455</v>
      </c>
      <c r="D13" t="s">
        <v>10</v>
      </c>
      <c r="E13">
        <v>1</v>
      </c>
      <c r="F13">
        <v>25.5</v>
      </c>
      <c r="G13">
        <v>25.5</v>
      </c>
      <c r="H13" t="s">
        <v>9</v>
      </c>
    </row>
    <row r="14" spans="1:8" x14ac:dyDescent="0.35">
      <c r="A14">
        <v>5013</v>
      </c>
      <c r="B14">
        <v>1012</v>
      </c>
      <c r="C14" s="1">
        <v>45456</v>
      </c>
      <c r="D14" t="s">
        <v>11</v>
      </c>
      <c r="E14">
        <v>1</v>
      </c>
      <c r="F14">
        <v>75</v>
      </c>
      <c r="G14">
        <v>75</v>
      </c>
      <c r="H14" t="s">
        <v>9</v>
      </c>
    </row>
    <row r="15" spans="1:8" x14ac:dyDescent="0.35">
      <c r="A15">
        <v>5014</v>
      </c>
      <c r="B15">
        <v>1013</v>
      </c>
      <c r="C15" s="1">
        <v>45457</v>
      </c>
      <c r="D15" t="s">
        <v>12</v>
      </c>
      <c r="E15">
        <v>1</v>
      </c>
      <c r="F15">
        <v>199.99</v>
      </c>
      <c r="G15">
        <v>199.99</v>
      </c>
      <c r="H15" t="s">
        <v>9</v>
      </c>
    </row>
    <row r="16" spans="1:8" x14ac:dyDescent="0.35">
      <c r="A16">
        <v>5016</v>
      </c>
      <c r="B16">
        <v>1015</v>
      </c>
      <c r="C16" s="1">
        <v>45459</v>
      </c>
      <c r="D16" t="s">
        <v>14</v>
      </c>
      <c r="E16">
        <v>1</v>
      </c>
      <c r="F16">
        <v>499.99</v>
      </c>
      <c r="G16">
        <v>499.99</v>
      </c>
      <c r="H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Summary Dashboard</vt:lpstr>
      <vt:lpstr>Detailed_Orders</vt:lpstr>
      <vt:lpstr>Detailed_Customers</vt:lpstr>
      <vt:lpstr>Source_Cust</vt:lpstr>
      <vt:lpstr>Target_Cust</vt:lpstr>
      <vt:lpstr>Source_Orders</vt:lpstr>
      <vt:lpstr>Target_Orders</vt:lpstr>
      <vt:lpstr>Source_Cust!ExternalData_1</vt:lpstr>
      <vt:lpstr>Source_Orders!ExternalData_1</vt:lpstr>
      <vt:lpstr>Target_Cust!ExternalData_1</vt:lpstr>
      <vt:lpstr>Target_Orders!ExternalData_1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kumar Jadhav</dc:creator>
  <cp:lastModifiedBy>Akshay kumar Jadhav</cp:lastModifiedBy>
  <dcterms:created xsi:type="dcterms:W3CDTF">2026-01-31T19:31:38Z</dcterms:created>
  <dcterms:modified xsi:type="dcterms:W3CDTF">2026-01-31T19:31:42Z</dcterms:modified>
</cp:coreProperties>
</file>